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cio\OneDrive\documentos\TRABAJOS AUTONOMOS\JURADA\CLIENTES J\en_curso-j\"/>
    </mc:Choice>
  </mc:AlternateContent>
  <xr:revisionPtr revIDLastSave="0" documentId="13_ncr:1_{26B914EE-56AC-4615-A567-23775B3C1A61}" xr6:coauthVersionLast="47" xr6:coauthVersionMax="47" xr10:uidLastSave="{00000000-0000-0000-0000-000000000000}"/>
  <bookViews>
    <workbookView xWindow="1260" yWindow="-120" windowWidth="27660" windowHeight="14325" xr2:uid="{00000000-000D-0000-FFFF-FFFF00000000}"/>
  </bookViews>
  <sheets>
    <sheet name="bilingue" sheetId="1" r:id="rId1"/>
    <sheet name="alemá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H10" i="1"/>
  <c r="I10" i="1" s="1"/>
  <c r="E10" i="1"/>
  <c r="E9" i="1"/>
  <c r="H9" i="1" s="1"/>
  <c r="I9" i="1" s="1"/>
  <c r="H9" i="2"/>
  <c r="H5" i="2"/>
  <c r="I5" i="2" s="1"/>
  <c r="H5" i="1"/>
  <c r="J10" i="1" l="1"/>
  <c r="H11" i="1"/>
  <c r="I5" i="1"/>
  <c r="J5" i="1" s="1"/>
  <c r="J5" i="2"/>
  <c r="J9" i="1"/>
  <c r="I9" i="2"/>
  <c r="J9" i="2" s="1"/>
  <c r="H11" i="2"/>
  <c r="I11" i="1" l="1"/>
  <c r="I11" i="2"/>
  <c r="J11" i="2"/>
</calcChain>
</file>

<file path=xl/sharedStrings.xml><?xml version="1.0" encoding="utf-8"?>
<sst xmlns="http://schemas.openxmlformats.org/spreadsheetml/2006/main" count="64" uniqueCount="59">
  <si>
    <t>PRESUPUESTO DE TRADUCCIÓN PARA XXXXX - TRADUCTORA: ROCÍO VALERO LUCAS</t>
  </si>
  <si>
    <t>Descripción del documento</t>
  </si>
  <si>
    <t>Nombre del PDF original</t>
  </si>
  <si>
    <t>Tipo de traducción</t>
  </si>
  <si>
    <t>Tipo de tarifa</t>
  </si>
  <si>
    <t>Cantidad</t>
  </si>
  <si>
    <t>Unidad</t>
  </si>
  <si>
    <t>Tarifa</t>
  </si>
  <si>
    <t>Base imponible</t>
  </si>
  <si>
    <t>IVA (21%)</t>
  </si>
  <si>
    <t>Importe total</t>
  </si>
  <si>
    <t>Documentos estándar</t>
  </si>
  <si>
    <t>Jurada</t>
  </si>
  <si>
    <t>Por página</t>
  </si>
  <si>
    <t>página</t>
  </si>
  <si>
    <t>Otros documentos</t>
  </si>
  <si>
    <t>palabras</t>
  </si>
  <si>
    <t>TOTALES</t>
  </si>
  <si>
    <t>Tarifas base orientativas:</t>
  </si>
  <si>
    <t>• Traducción documentos estándar: 20/30 €/página</t>
  </si>
  <si>
    <t>• Traducción documentos largos: 0,09 €/palabra</t>
  </si>
  <si>
    <t>• Apostilla: 5 €/unidad</t>
  </si>
  <si>
    <t>Nota sobre el IVA:</t>
  </si>
  <si>
    <t xml:space="preserve">• Empresas radicadas en España: sumar IVA del 21 %; </t>
  </si>
  <si>
    <t>• Empresas radicadas en otro país de la UE sin número de operador intracomunitario: sumar IVA del 21 %.</t>
  </si>
  <si>
    <t>• Todas las personas particulares, al margen de su lugar de residencia fiscal, cuando la traducción se vaya a presentar en España: sumar IVA del 21 %</t>
  </si>
  <si>
    <t>TRANSLATION QUOTE FOR XXXXX - TRANSLATOR: ROCÍO VALERO LUCAS</t>
  </si>
  <si>
    <t>Document description</t>
  </si>
  <si>
    <t>Original PDF name</t>
  </si>
  <si>
    <t>Translation type</t>
  </si>
  <si>
    <t>Rate type</t>
  </si>
  <si>
    <t>Quantity</t>
  </si>
  <si>
    <t>Unit</t>
  </si>
  <si>
    <t>Rate</t>
  </si>
  <si>
    <t>Subtotal</t>
  </si>
  <si>
    <t>VAT (21%)</t>
  </si>
  <si>
    <t>Total</t>
  </si>
  <si>
    <t>Standard documents</t>
  </si>
  <si>
    <t>Sworn</t>
  </si>
  <si>
    <t>Per page</t>
  </si>
  <si>
    <t>pages</t>
  </si>
  <si>
    <t>Other documents</t>
  </si>
  <si>
    <t>per word</t>
  </si>
  <si>
    <t>words</t>
  </si>
  <si>
    <t>TOTALS</t>
  </si>
  <si>
    <t>Indicative base rates:</t>
  </si>
  <si>
    <t>• Standard document translation: €20/30/page</t>
  </si>
  <si>
    <t>• Long document translation: €0.09/word</t>
  </si>
  <si>
    <t>• Apostille: €5/unit</t>
  </si>
  <si>
    <t>Note on VAT:</t>
  </si>
  <si>
    <t>• Companies based in Spain: 21% VAT applies.</t>
  </si>
  <si>
    <t>• Companies based in another EU country without a VAT number: 21% VAT applies.</t>
  </si>
  <si>
    <t>• All individuals, regardless of their tax residence, when the translation is to be submitted in Spain: 21% VAT applies.</t>
  </si>
  <si>
    <t>Diplomzeugnis</t>
  </si>
  <si>
    <t>Akadem. Titel</t>
  </si>
  <si>
    <t>xx</t>
  </si>
  <si>
    <t>anhang</t>
  </si>
  <si>
    <t>anhang 1</t>
  </si>
  <si>
    <t>por palabra (dividido entre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</si>
</sst>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\ &quot;€&quot;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11" fillId="0" borderId="1" xfId="0" applyFont="1" applyBorder="1"/>
    <xf numFmtId="0" fontId="10" fillId="0" borderId="0" xfId="0" applyFont="1"/>
    <xf numFmtId="0" fontId="10" fillId="0" borderId="1" xfId="0" applyFont="1" applyBorder="1"/>
    <xf numFmtId="164" fontId="11" fillId="0" borderId="1" xfId="0" applyNumberFormat="1" applyFont="1" applyBorder="1"/>
    <xf numFmtId="1" fontId="10" fillId="0" borderId="1" xfId="0" applyNumberFormat="1" applyFont="1" applyBorder="1"/>
    <xf numFmtId="3" fontId="10" fillId="0" borderId="1" xfId="0" applyNumberFormat="1" applyFont="1" applyBorder="1"/>
    <xf numFmtId="164" fontId="10" fillId="0" borderId="1" xfId="0" applyNumberFormat="1" applyFont="1" applyBorder="1"/>
    <xf numFmtId="0" fontId="10" fillId="0" borderId="2" xfId="0" applyFont="1" applyBorder="1"/>
    <xf numFmtId="0" fontId="10" fillId="0" borderId="6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7" xfId="0" applyFont="1" applyBorder="1"/>
    <xf numFmtId="0" fontId="10" fillId="0" borderId="3" xfId="0" applyFont="1" applyBorder="1"/>
    <xf numFmtId="1" fontId="10" fillId="0" borderId="0" xfId="0" applyNumberFormat="1" applyFont="1"/>
    <xf numFmtId="4" fontId="10" fillId="0" borderId="0" xfId="0" applyNumberFormat="1" applyFont="1"/>
    <xf numFmtId="164" fontId="10" fillId="0" borderId="0" xfId="0" applyNumberFormat="1" applyFont="1"/>
    <xf numFmtId="0" fontId="11" fillId="3" borderId="0" xfId="0" applyFont="1" applyFill="1"/>
    <xf numFmtId="0" fontId="10" fillId="3" borderId="0" xfId="0" applyFont="1" applyFill="1"/>
    <xf numFmtId="0" fontId="10" fillId="3" borderId="4" xfId="0" applyFont="1" applyFill="1" applyBorder="1"/>
    <xf numFmtId="164" fontId="11" fillId="3" borderId="4" xfId="0" applyNumberFormat="1" applyFont="1" applyFill="1" applyBorder="1"/>
    <xf numFmtId="0" fontId="11" fillId="0" borderId="0" xfId="0" applyFont="1"/>
    <xf numFmtId="164" fontId="11" fillId="0" borderId="0" xfId="0" applyNumberFormat="1" applyFont="1"/>
    <xf numFmtId="3" fontId="10" fillId="0" borderId="0" xfId="0" applyNumberFormat="1" applyFont="1"/>
    <xf numFmtId="164" fontId="11" fillId="3" borderId="0" xfId="0" applyNumberFormat="1" applyFont="1" applyFill="1"/>
    <xf numFmtId="0" fontId="11" fillId="0" borderId="1" xfId="0" applyFont="1" applyBorder="1"/>
    <xf numFmtId="0" fontId="0" fillId="0" borderId="8" xfId="0" applyBorder="1"/>
    <xf numFmtId="0" fontId="0" fillId="0" borderId="2" xfId="0" applyBorder="1"/>
    <xf numFmtId="0" fontId="11" fillId="0" borderId="0" xfId="0" applyFont="1"/>
    <xf numFmtId="0" fontId="0" fillId="0" borderId="0" xfId="0"/>
    <xf numFmtId="2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T30"/>
  <sheetViews>
    <sheetView tabSelected="1" zoomScale="115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5" sqref="J5:J11"/>
    </sheetView>
  </sheetViews>
  <sheetFormatPr baseColWidth="10" defaultColWidth="8.7109375" defaultRowHeight="15" x14ac:dyDescent="0.25"/>
  <cols>
    <col min="1" max="1" width="22.42578125" style="1" bestFit="1" customWidth="1"/>
    <col min="2" max="2" width="13.85546875" style="1" bestFit="1" customWidth="1"/>
    <col min="3" max="3" width="11" style="1" customWidth="1"/>
    <col min="4" max="4" width="30" style="1" customWidth="1"/>
    <col min="5" max="5" width="9.42578125" style="11" customWidth="1"/>
    <col min="6" max="6" width="11" style="4" customWidth="1"/>
    <col min="7" max="7" width="8.42578125" style="10" customWidth="1"/>
    <col min="8" max="8" width="10.28515625" style="10" customWidth="1"/>
    <col min="9" max="9" width="9.85546875" style="10" customWidth="1"/>
    <col min="10" max="10" width="14.28515625" style="10" customWidth="1"/>
    <col min="11" max="11" width="9.85546875" style="1" customWidth="1"/>
    <col min="12" max="12" width="28.140625" style="1" bestFit="1" customWidth="1"/>
    <col min="13" max="14" width="8.7109375" style="1" customWidth="1"/>
    <col min="15" max="15" width="2.140625" style="1" bestFit="1" customWidth="1"/>
    <col min="16" max="17" width="8.7109375" style="1" customWidth="1"/>
    <col min="18" max="16384" width="8.7109375" style="1"/>
  </cols>
  <sheetData>
    <row r="1" spans="1:20" s="7" customFormat="1" ht="12.95" customHeight="1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  <c r="Q1" s="22"/>
      <c r="R1" s="22"/>
      <c r="S1" s="22"/>
      <c r="T1" s="22"/>
    </row>
    <row r="2" spans="1:20" s="3" customFormat="1" ht="15.6" customHeight="1" x14ac:dyDescent="0.25">
      <c r="A2" s="23"/>
      <c r="B2" s="23"/>
      <c r="C2" s="22"/>
      <c r="D2" s="22"/>
      <c r="E2" s="23"/>
      <c r="F2" s="23"/>
      <c r="G2" s="23"/>
      <c r="H2" s="23"/>
      <c r="I2" s="23"/>
      <c r="J2" s="23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1:20" s="6" customFormat="1" ht="32.25" customHeight="1" x14ac:dyDescent="0.25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4" t="s">
        <v>7</v>
      </c>
      <c r="H3" s="24" t="s">
        <v>8</v>
      </c>
      <c r="I3" s="24" t="s">
        <v>9</v>
      </c>
      <c r="J3" s="24" t="s">
        <v>10</v>
      </c>
      <c r="K3" s="23"/>
      <c r="L3" s="22"/>
      <c r="M3" s="22"/>
      <c r="N3" s="22"/>
      <c r="O3" s="22"/>
      <c r="P3" s="22"/>
      <c r="Q3" s="22"/>
      <c r="R3" s="22"/>
      <c r="S3" s="22"/>
      <c r="T3" s="22"/>
    </row>
    <row r="4" spans="1:20" s="2" customFormat="1" x14ac:dyDescent="0.25">
      <c r="A4" s="21" t="s">
        <v>11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2"/>
      <c r="M4" s="22"/>
      <c r="N4" s="22"/>
      <c r="O4" s="22"/>
      <c r="P4" s="22"/>
      <c r="Q4" s="22"/>
      <c r="R4" s="22"/>
      <c r="S4" s="22"/>
      <c r="T4" s="22"/>
    </row>
    <row r="5" spans="1:20" x14ac:dyDescent="0.25">
      <c r="A5" s="23" t="s">
        <v>54</v>
      </c>
      <c r="B5" s="23"/>
      <c r="C5" s="23" t="s">
        <v>12</v>
      </c>
      <c r="D5" s="23" t="s">
        <v>13</v>
      </c>
      <c r="E5" s="25">
        <v>1</v>
      </c>
      <c r="F5" s="26" t="s">
        <v>14</v>
      </c>
      <c r="G5" s="27">
        <v>25</v>
      </c>
      <c r="H5" s="27">
        <f t="shared" ref="H5" si="0">E5*G5</f>
        <v>25</v>
      </c>
      <c r="I5" s="27">
        <f t="shared" ref="I5" si="1">H5*0.21</f>
        <v>5.25</v>
      </c>
      <c r="J5" s="27">
        <f t="shared" ref="J5" si="2">H5+I5</f>
        <v>30.25</v>
      </c>
      <c r="K5" s="22"/>
      <c r="L5" s="22"/>
      <c r="M5" s="22"/>
      <c r="N5" s="22"/>
      <c r="O5" s="22"/>
      <c r="P5" s="22"/>
      <c r="Q5" s="22"/>
      <c r="R5" s="22"/>
      <c r="S5" s="22"/>
      <c r="T5" s="22"/>
    </row>
    <row r="6" spans="1:20" ht="1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 spans="1:20" ht="15" customHeight="1" thickBot="1" x14ac:dyDescent="0.3">
      <c r="A7" s="23"/>
      <c r="B7" s="23"/>
      <c r="C7" s="23"/>
      <c r="D7" s="23"/>
      <c r="E7" s="23"/>
      <c r="F7" s="23"/>
      <c r="G7" s="23"/>
      <c r="H7" s="23"/>
      <c r="I7" s="23"/>
      <c r="J7" s="23"/>
      <c r="K7" s="22"/>
      <c r="L7" s="29"/>
      <c r="M7" s="30"/>
      <c r="N7" s="30"/>
      <c r="O7" s="31"/>
      <c r="P7" s="28"/>
      <c r="Q7" s="22"/>
      <c r="R7" s="22"/>
      <c r="S7" s="22"/>
      <c r="T7" s="22"/>
    </row>
    <row r="8" spans="1:20" x14ac:dyDescent="0.25">
      <c r="A8" s="21" t="s">
        <v>15</v>
      </c>
      <c r="B8" s="23"/>
      <c r="C8" s="22"/>
      <c r="D8" s="22"/>
      <c r="E8" s="22"/>
      <c r="F8" s="22"/>
      <c r="G8" s="22"/>
      <c r="H8" s="22"/>
      <c r="I8" s="22"/>
      <c r="J8" s="22"/>
      <c r="K8" s="22"/>
      <c r="L8" s="32"/>
      <c r="M8" s="33"/>
      <c r="N8" s="33"/>
      <c r="O8" s="33"/>
      <c r="P8" s="22"/>
      <c r="Q8" s="22"/>
      <c r="R8" s="22"/>
      <c r="S8" s="22"/>
      <c r="T8" s="22"/>
    </row>
    <row r="9" spans="1:20" x14ac:dyDescent="0.25">
      <c r="A9" s="23" t="s">
        <v>56</v>
      </c>
      <c r="B9" s="23"/>
      <c r="C9" s="22" t="s">
        <v>12</v>
      </c>
      <c r="D9" s="22" t="s">
        <v>58</v>
      </c>
      <c r="E9" s="34">
        <f>363/2</f>
        <v>181.5</v>
      </c>
      <c r="F9" s="35" t="s">
        <v>16</v>
      </c>
      <c r="G9" s="36">
        <v>0.09</v>
      </c>
      <c r="H9" s="36">
        <f>E9*G9</f>
        <v>16.335000000000001</v>
      </c>
      <c r="I9" s="36">
        <f>H9*0.21</f>
        <v>3.4303500000000002</v>
      </c>
      <c r="J9" s="36">
        <f>H9+I9</f>
        <v>19.765350000000002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spans="1:20" s="3" customFormat="1" ht="15.6" customHeight="1" x14ac:dyDescent="0.25">
      <c r="A10" s="23" t="s">
        <v>57</v>
      </c>
      <c r="B10" s="23"/>
      <c r="C10" s="22" t="s">
        <v>12</v>
      </c>
      <c r="D10" s="22" t="s">
        <v>58</v>
      </c>
      <c r="E10" s="22">
        <f>5628/2</f>
        <v>2814</v>
      </c>
      <c r="F10" s="35" t="s">
        <v>16</v>
      </c>
      <c r="G10" s="36">
        <v>0.09</v>
      </c>
      <c r="H10" s="36">
        <f>E10*G10</f>
        <v>253.26</v>
      </c>
      <c r="I10" s="36">
        <f>H10*0.21</f>
        <v>53.184599999999996</v>
      </c>
      <c r="J10" s="36">
        <f>H10+I10</f>
        <v>306.44459999999998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 spans="1:20" s="9" customFormat="1" ht="15.95" customHeight="1" thickBot="1" x14ac:dyDescent="0.3">
      <c r="A11" s="37" t="s">
        <v>17</v>
      </c>
      <c r="B11" s="38"/>
      <c r="C11" s="38"/>
      <c r="D11" s="38"/>
      <c r="E11" s="39"/>
      <c r="F11" s="39"/>
      <c r="G11" s="39"/>
      <c r="H11" s="40">
        <f>SUM(H5:H9)</f>
        <v>41.335000000000001</v>
      </c>
      <c r="I11" s="40">
        <f>SUM(I5:I9)</f>
        <v>8.6803500000000007</v>
      </c>
      <c r="J11" s="40">
        <f>SUM(J5:J10)</f>
        <v>356.45994999999999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 spans="1:20" s="8" customFormat="1" ht="12.95" customHeight="1" x14ac:dyDescent="0.25">
      <c r="A12" s="33"/>
      <c r="B12" s="33"/>
      <c r="C12" s="22"/>
      <c r="D12" s="22"/>
      <c r="E12" s="33"/>
      <c r="F12" s="33"/>
      <c r="G12" s="33"/>
      <c r="H12" s="33"/>
      <c r="I12" s="33"/>
      <c r="J12" s="33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 spans="1:20" s="5" customFormat="1" ht="12.95" customHeight="1" x14ac:dyDescent="0.25">
      <c r="A13" s="21" t="s">
        <v>18</v>
      </c>
      <c r="B13" s="23"/>
      <c r="C13" s="22"/>
      <c r="D13" s="22"/>
      <c r="E13" s="23"/>
      <c r="F13" s="23"/>
      <c r="G13" s="23"/>
      <c r="H13" s="23"/>
      <c r="I13" s="23"/>
      <c r="J13" s="23"/>
      <c r="K13" s="22"/>
      <c r="L13" s="22"/>
      <c r="M13" s="22"/>
      <c r="N13" s="22"/>
      <c r="O13" s="22"/>
      <c r="P13" s="22"/>
      <c r="Q13" s="22"/>
      <c r="R13" s="22"/>
      <c r="S13" s="22"/>
      <c r="T13" s="22"/>
    </row>
    <row r="14" spans="1:20" s="5" customFormat="1" ht="12.95" customHeight="1" x14ac:dyDescent="0.25">
      <c r="A14" s="23" t="s">
        <v>19</v>
      </c>
      <c r="B14" s="23"/>
      <c r="C14" s="22"/>
      <c r="D14" s="22"/>
      <c r="E14" s="23"/>
      <c r="F14" s="23"/>
      <c r="G14" s="23"/>
      <c r="H14" s="23"/>
      <c r="I14" s="23"/>
      <c r="J14" s="23"/>
      <c r="K14" s="22"/>
      <c r="L14" s="22"/>
      <c r="M14" s="22"/>
      <c r="N14" s="22"/>
      <c r="O14" s="22"/>
      <c r="P14" s="22"/>
      <c r="Q14" s="22"/>
      <c r="R14" s="22"/>
      <c r="S14" s="22"/>
      <c r="T14" s="22"/>
    </row>
    <row r="15" spans="1:20" s="5" customFormat="1" ht="12.95" customHeight="1" x14ac:dyDescent="0.25">
      <c r="A15" s="23" t="s">
        <v>20</v>
      </c>
      <c r="B15" s="23"/>
      <c r="C15" s="22"/>
      <c r="D15" s="22"/>
      <c r="E15" s="23"/>
      <c r="F15" s="23"/>
      <c r="G15" s="23"/>
      <c r="H15" s="23"/>
      <c r="I15" s="23"/>
      <c r="J15" s="23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spans="1:20" s="5" customFormat="1" ht="12.95" customHeight="1" x14ac:dyDescent="0.25">
      <c r="A16" s="23" t="s">
        <v>21</v>
      </c>
      <c r="B16" s="23"/>
      <c r="C16" s="22"/>
      <c r="D16" s="22"/>
      <c r="E16" s="23"/>
      <c r="F16" s="23"/>
      <c r="G16" s="23"/>
      <c r="H16" s="23"/>
      <c r="I16" s="23"/>
      <c r="J16" s="23"/>
      <c r="K16" s="22"/>
      <c r="L16" s="22"/>
      <c r="M16" s="22"/>
      <c r="N16" s="22"/>
      <c r="O16" s="22"/>
      <c r="P16" s="22"/>
      <c r="Q16" s="22"/>
      <c r="R16" s="22"/>
      <c r="S16" s="22"/>
      <c r="T16" s="22"/>
    </row>
    <row r="17" spans="1:20" s="5" customFormat="1" ht="12.95" customHeight="1" x14ac:dyDescent="0.25">
      <c r="A17" s="23"/>
      <c r="B17" s="23"/>
      <c r="C17" s="22"/>
      <c r="D17" s="22"/>
      <c r="E17" s="23"/>
      <c r="F17" s="23"/>
      <c r="G17" s="23"/>
      <c r="H17" s="23"/>
      <c r="I17" s="23"/>
      <c r="J17" s="23"/>
      <c r="K17" s="22"/>
      <c r="L17" s="22"/>
      <c r="M17" s="22"/>
      <c r="N17" s="22"/>
      <c r="O17" s="22"/>
      <c r="P17" s="22"/>
      <c r="Q17" s="22"/>
      <c r="R17" s="22"/>
      <c r="S17" s="22"/>
      <c r="T17" s="22"/>
    </row>
    <row r="18" spans="1:20" s="15" customFormat="1" ht="12.95" customHeight="1" x14ac:dyDescent="0.25">
      <c r="A18" s="21" t="s">
        <v>22</v>
      </c>
      <c r="B18" s="23"/>
      <c r="C18" s="22"/>
      <c r="D18" s="22"/>
      <c r="E18" s="23"/>
      <c r="F18" s="23"/>
      <c r="G18" s="23"/>
      <c r="H18" s="23"/>
      <c r="I18" s="23"/>
      <c r="J18" s="23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1:20" s="16" customFormat="1" x14ac:dyDescent="0.25">
      <c r="A19" s="21" t="s">
        <v>23</v>
      </c>
      <c r="B19" s="22"/>
      <c r="C19" s="22"/>
      <c r="D19" s="22"/>
      <c r="E19" s="23"/>
      <c r="F19" s="23"/>
      <c r="G19" s="23"/>
      <c r="H19" s="23"/>
      <c r="I19" s="23"/>
      <c r="J19" s="23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 spans="1:20" s="15" customFormat="1" ht="12.95" customHeight="1" x14ac:dyDescent="0.25">
      <c r="A20" s="21" t="s">
        <v>24</v>
      </c>
      <c r="B20" s="23"/>
      <c r="C20" s="22"/>
      <c r="D20" s="22"/>
      <c r="E20" s="23"/>
      <c r="F20" s="23"/>
      <c r="G20" s="23"/>
      <c r="H20" s="23"/>
      <c r="I20" s="23"/>
      <c r="J20" s="23"/>
      <c r="K20" s="22"/>
      <c r="L20" s="22"/>
      <c r="M20" s="22"/>
      <c r="N20" s="22"/>
      <c r="O20" s="22"/>
      <c r="P20" s="22"/>
      <c r="Q20" s="22"/>
      <c r="R20" s="22"/>
      <c r="S20" s="22"/>
      <c r="T20" s="22"/>
    </row>
    <row r="21" spans="1:20" x14ac:dyDescent="0.25">
      <c r="A21" s="41" t="s">
        <v>25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1:20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spans="1:2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spans="1:2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1:2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spans="1:2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</row>
    <row r="28" spans="1:2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1:2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</row>
    <row r="30" spans="1:2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</sheetData>
  <mergeCells count="1">
    <mergeCell ref="A1:P1"/>
  </mergeCells>
  <pageMargins left="0.7" right="0.7" top="0.75" bottom="0.75" header="0.3" footer="0.3"/>
  <pageSetup paperSize="9" orientation="portrait" horizontalDpi="3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"/>
  <sheetViews>
    <sheetView zoomScale="115" zoomScaleNormal="115" workbookViewId="0">
      <selection activeCell="I17" sqref="I17"/>
    </sheetView>
  </sheetViews>
  <sheetFormatPr baseColWidth="10" defaultColWidth="8.7109375" defaultRowHeight="15" x14ac:dyDescent="0.25"/>
  <cols>
    <col min="1" max="1" width="38.140625" customWidth="1"/>
    <col min="2" max="2" width="22" customWidth="1"/>
    <col min="3" max="3" width="18" style="12" customWidth="1"/>
    <col min="4" max="4" width="14" customWidth="1"/>
    <col min="5" max="6" width="10" customWidth="1"/>
    <col min="7" max="7" width="10" style="14" customWidth="1"/>
    <col min="8" max="8" width="14" style="14" customWidth="1"/>
    <col min="9" max="9" width="12" style="13" customWidth="1"/>
    <col min="10" max="10" width="14" style="13" customWidth="1"/>
    <col min="12" max="12" width="35" customWidth="1"/>
    <col min="15" max="15" width="8" customWidth="1"/>
  </cols>
  <sheetData>
    <row r="1" spans="1:20" ht="15.6" customHeight="1" x14ac:dyDescent="0.25">
      <c r="A1" s="48" t="s">
        <v>26</v>
      </c>
      <c r="B1" s="49"/>
      <c r="C1" s="50"/>
      <c r="D1" s="49"/>
      <c r="E1" s="49"/>
      <c r="F1" s="49"/>
      <c r="G1" s="51"/>
      <c r="H1" s="51"/>
      <c r="I1" s="52"/>
      <c r="J1" s="52"/>
      <c r="K1" s="49"/>
      <c r="L1" s="49"/>
      <c r="M1" s="49"/>
      <c r="N1" s="49"/>
      <c r="O1" s="49"/>
      <c r="P1" s="49"/>
      <c r="Q1" s="22"/>
      <c r="R1" s="22"/>
      <c r="S1" s="22"/>
      <c r="T1" s="22"/>
    </row>
    <row r="2" spans="1:20" ht="15.6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1:20" x14ac:dyDescent="0.25">
      <c r="A3" s="41" t="s">
        <v>27</v>
      </c>
      <c r="B3" s="41" t="s">
        <v>28</v>
      </c>
      <c r="C3" s="41" t="s">
        <v>29</v>
      </c>
      <c r="D3" s="41" t="s">
        <v>30</v>
      </c>
      <c r="E3" s="41" t="s">
        <v>31</v>
      </c>
      <c r="F3" s="41" t="s">
        <v>32</v>
      </c>
      <c r="G3" s="42" t="s">
        <v>33</v>
      </c>
      <c r="H3" s="42" t="s">
        <v>34</v>
      </c>
      <c r="I3" s="42" t="s">
        <v>35</v>
      </c>
      <c r="J3" s="42" t="s">
        <v>36</v>
      </c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1:20" s="18" customFormat="1" ht="11.45" customHeight="1" x14ac:dyDescent="0.25">
      <c r="A4" s="41" t="s">
        <v>37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</row>
    <row r="5" spans="1:20" s="18" customFormat="1" ht="11.45" customHeight="1" x14ac:dyDescent="0.25">
      <c r="A5" s="22" t="s">
        <v>55</v>
      </c>
      <c r="B5" s="22"/>
      <c r="C5" s="22" t="s">
        <v>38</v>
      </c>
      <c r="D5" s="22" t="s">
        <v>39</v>
      </c>
      <c r="E5" s="34">
        <v>0</v>
      </c>
      <c r="F5" s="43" t="s">
        <v>40</v>
      </c>
      <c r="G5" s="36">
        <v>20</v>
      </c>
      <c r="H5" s="36">
        <f t="shared" ref="H5" si="0">E5*G5</f>
        <v>0</v>
      </c>
      <c r="I5" s="36">
        <f t="shared" ref="I5" si="1">H5*0.21</f>
        <v>0</v>
      </c>
      <c r="J5" s="36">
        <f t="shared" ref="J5" si="2">H5+I5</f>
        <v>0</v>
      </c>
      <c r="K5" s="22"/>
      <c r="L5" s="22"/>
      <c r="M5" s="22"/>
      <c r="N5" s="22"/>
      <c r="O5" s="22"/>
      <c r="P5" s="22"/>
      <c r="Q5" s="22"/>
      <c r="R5" s="22"/>
      <c r="S5" s="22"/>
      <c r="T5" s="22"/>
    </row>
    <row r="6" spans="1:20" s="18" customFormat="1" ht="12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 spans="1:20" s="18" customFormat="1" ht="11.4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</row>
    <row r="8" spans="1:20" s="18" customFormat="1" ht="11.45" customHeight="1" x14ac:dyDescent="0.25">
      <c r="A8" s="41" t="s">
        <v>41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</row>
    <row r="9" spans="1:20" s="18" customFormat="1" ht="11.45" customHeight="1" x14ac:dyDescent="0.25">
      <c r="A9" s="22" t="s">
        <v>53</v>
      </c>
      <c r="B9" s="22"/>
      <c r="C9" s="22" t="s">
        <v>38</v>
      </c>
      <c r="D9" s="22" t="s">
        <v>42</v>
      </c>
      <c r="E9" s="34">
        <v>416</v>
      </c>
      <c r="F9" s="35" t="s">
        <v>43</v>
      </c>
      <c r="G9" s="36">
        <v>0.09</v>
      </c>
      <c r="H9" s="36">
        <f>E9*G9</f>
        <v>37.44</v>
      </c>
      <c r="I9" s="36">
        <f>H9*0.21</f>
        <v>7.8623999999999992</v>
      </c>
      <c r="J9" s="36">
        <f>H9+I9</f>
        <v>45.302399999999999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spans="1:20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 spans="1:20" s="17" customFormat="1" ht="14.1" customHeight="1" x14ac:dyDescent="0.25">
      <c r="A11" s="37" t="s">
        <v>44</v>
      </c>
      <c r="B11" s="38"/>
      <c r="C11" s="38"/>
      <c r="D11" s="38"/>
      <c r="E11" s="38"/>
      <c r="F11" s="38"/>
      <c r="G11" s="38"/>
      <c r="H11" s="44">
        <f>SUM(H5:H9)</f>
        <v>37.44</v>
      </c>
      <c r="I11" s="44">
        <f>SUM(I5:I9)</f>
        <v>7.8623999999999992</v>
      </c>
      <c r="J11" s="44">
        <f>SUM(J5:J9)</f>
        <v>45.302399999999999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 spans="1:20" s="17" customFormat="1" ht="14.1" customHeight="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 spans="1:20" s="17" customFormat="1" ht="14.1" customHeight="1" x14ac:dyDescent="0.25">
      <c r="A13" s="41" t="s">
        <v>45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</row>
    <row r="14" spans="1:20" s="17" customFormat="1" ht="14.1" customHeight="1" x14ac:dyDescent="0.25">
      <c r="A14" s="22" t="s">
        <v>46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</row>
    <row r="15" spans="1:20" s="17" customFormat="1" ht="14.1" customHeight="1" x14ac:dyDescent="0.25">
      <c r="A15" s="22" t="s">
        <v>47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spans="1:20" s="19" customFormat="1" ht="12.95" customHeight="1" x14ac:dyDescent="0.25">
      <c r="A16" s="22" t="s">
        <v>48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</row>
    <row r="17" spans="1:20" s="20" customFormat="1" ht="12.95" customHeigh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</row>
    <row r="18" spans="1:20" s="20" customFormat="1" ht="12.95" customHeight="1" x14ac:dyDescent="0.25">
      <c r="A18" s="41" t="s">
        <v>49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1:20" s="20" customFormat="1" ht="12.95" customHeight="1" x14ac:dyDescent="0.25">
      <c r="A19" s="41" t="s">
        <v>50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 spans="1:20" x14ac:dyDescent="0.25">
      <c r="A20" s="41" t="s">
        <v>51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</row>
    <row r="21" spans="1:20" x14ac:dyDescent="0.25">
      <c r="A21" s="41" t="s">
        <v>52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1:20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spans="1:2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spans="1:2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1:2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spans="1:2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</row>
    <row r="28" spans="1:2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1:2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</row>
    <row r="30" spans="1:2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</sheetData>
  <mergeCells count="1">
    <mergeCell ref="A1:P1"/>
  </mergeCells>
  <pageMargins left="0.75" right="0.75" top="1" bottom="1" header="0.5" footer="0.5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bilingue</vt:lpstr>
      <vt:lpstr>alemán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Valero</dc:creator>
  <cp:lastModifiedBy>Rocío Valero</cp:lastModifiedBy>
  <dcterms:created xsi:type="dcterms:W3CDTF">2015-06-05T18:19:34Z</dcterms:created>
  <dcterms:modified xsi:type="dcterms:W3CDTF">2026-03-02T10:49:48Z</dcterms:modified>
</cp:coreProperties>
</file>