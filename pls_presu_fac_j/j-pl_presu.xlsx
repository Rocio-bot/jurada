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cio\OneDrive\documentos\TRABAJOS AUTONOMOS\JURADA\pls_presu_fac_j\"/>
    </mc:Choice>
  </mc:AlternateContent>
  <xr:revisionPtr revIDLastSave="0" documentId="13_ncr:1_{0E2AF285-5E24-4062-9E77-1DF41552A7CD}" xr6:coauthVersionLast="47" xr6:coauthVersionMax="47" xr10:uidLastSave="{00000000-0000-0000-0000-000000000000}"/>
  <bookViews>
    <workbookView xWindow="1260" yWindow="-120" windowWidth="27660" windowHeight="14325" xr2:uid="{00000000-000D-0000-FFFF-FFFF00000000}"/>
  </bookViews>
  <sheets>
    <sheet name="spanish" sheetId="1" r:id="rId1"/>
    <sheet name="english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H24" i="2" s="1"/>
  <c r="I24" i="2" s="1"/>
  <c r="H23" i="2"/>
  <c r="G23" i="2"/>
  <c r="I23" i="2" s="1"/>
  <c r="G22" i="2"/>
  <c r="G21" i="2"/>
  <c r="G26" i="2" s="1"/>
  <c r="G18" i="2"/>
  <c r="H18" i="2" s="1"/>
  <c r="G17" i="2"/>
  <c r="H17" i="2" s="1"/>
  <c r="G16" i="2"/>
  <c r="H16" i="2" s="1"/>
  <c r="G15" i="2"/>
  <c r="G14" i="2"/>
  <c r="H14" i="2" s="1"/>
  <c r="G11" i="2"/>
  <c r="H11" i="2" s="1"/>
  <c r="I11" i="2" s="1"/>
  <c r="G10" i="2"/>
  <c r="H10" i="2" s="1"/>
  <c r="I10" i="2" s="1"/>
  <c r="G9" i="2"/>
  <c r="G8" i="2"/>
  <c r="H8" i="2" s="1"/>
  <c r="I8" i="2" s="1"/>
  <c r="G7" i="2"/>
  <c r="G6" i="2"/>
  <c r="G5" i="2"/>
  <c r="G24" i="1"/>
  <c r="H24" i="1" s="1"/>
  <c r="I24" i="1" s="1"/>
  <c r="G23" i="1"/>
  <c r="G22" i="1"/>
  <c r="G21" i="1"/>
  <c r="H21" i="1" s="1"/>
  <c r="G18" i="1"/>
  <c r="H18" i="1" s="1"/>
  <c r="G17" i="1"/>
  <c r="H17" i="1" s="1"/>
  <c r="G16" i="1"/>
  <c r="G15" i="1"/>
  <c r="H15" i="1" s="1"/>
  <c r="H14" i="1"/>
  <c r="I14" i="1" s="1"/>
  <c r="G14" i="1"/>
  <c r="G11" i="1"/>
  <c r="G10" i="1"/>
  <c r="G9" i="1"/>
  <c r="H9" i="1" s="1"/>
  <c r="I9" i="1" s="1"/>
  <c r="G8" i="1"/>
  <c r="G7" i="1"/>
  <c r="H7" i="1" s="1"/>
  <c r="G6" i="1"/>
  <c r="G5" i="1"/>
  <c r="H5" i="1" s="1"/>
  <c r="H21" i="2" l="1"/>
  <c r="I21" i="2" s="1"/>
  <c r="I17" i="2"/>
  <c r="H22" i="2"/>
  <c r="I22" i="2" s="1"/>
  <c r="H5" i="2"/>
  <c r="I5" i="2" s="1"/>
  <c r="I14" i="2"/>
  <c r="I18" i="1"/>
  <c r="H11" i="1"/>
  <c r="I11" i="1" s="1"/>
  <c r="I5" i="1"/>
  <c r="I6" i="2"/>
  <c r="H7" i="2"/>
  <c r="I7" i="2" s="1"/>
  <c r="I18" i="2"/>
  <c r="I7" i="1"/>
  <c r="H22" i="1"/>
  <c r="I22" i="1" s="1"/>
  <c r="H23" i="1"/>
  <c r="I23" i="1" s="1"/>
  <c r="H6" i="2"/>
  <c r="H16" i="1"/>
  <c r="I16" i="1" s="1"/>
  <c r="H15" i="2"/>
  <c r="I15" i="2" s="1"/>
  <c r="H8" i="1"/>
  <c r="I8" i="1" s="1"/>
  <c r="I15" i="1"/>
  <c r="I21" i="1"/>
  <c r="H10" i="1"/>
  <c r="I10" i="1" s="1"/>
  <c r="I17" i="1"/>
  <c r="G26" i="1"/>
  <c r="H9" i="2"/>
  <c r="I9" i="2" s="1"/>
  <c r="I16" i="2"/>
  <c r="H6" i="1"/>
  <c r="I6" i="1" s="1"/>
  <c r="I26" i="2" l="1"/>
  <c r="H26" i="1"/>
  <c r="I26" i="1"/>
  <c r="H26" i="2"/>
</calcChain>
</file>

<file path=xl/sharedStrings.xml><?xml version="1.0" encoding="utf-8"?>
<sst xmlns="http://schemas.openxmlformats.org/spreadsheetml/2006/main" count="140" uniqueCount="83">
  <si>
    <t>PRESUPUESTO DE TRADUCCIÓN PARA XXXXX - TRADUCTORA: ROCÍO VALERO LUCAS</t>
  </si>
  <si>
    <t>Descripción del documento</t>
  </si>
  <si>
    <t>Nombre del PDF original</t>
  </si>
  <si>
    <t>Tipo de tarifa</t>
  </si>
  <si>
    <t>Cantidad</t>
  </si>
  <si>
    <t>Unidad</t>
  </si>
  <si>
    <t>Tarifa</t>
  </si>
  <si>
    <t>Base imponible</t>
  </si>
  <si>
    <t>IVA (21%)</t>
  </si>
  <si>
    <t>Importe total</t>
  </si>
  <si>
    <t>Documentos estándar</t>
  </si>
  <si>
    <t>Certificado de nacimiento</t>
  </si>
  <si>
    <t>Por página</t>
  </si>
  <si>
    <t>páginas</t>
  </si>
  <si>
    <t>Certificado de matrimonio</t>
  </si>
  <si>
    <t>página</t>
  </si>
  <si>
    <t>Título universitario</t>
  </si>
  <si>
    <t>Certificate of incorporation</t>
  </si>
  <si>
    <t>Certificate of incorporation on change of name</t>
  </si>
  <si>
    <t>Police certificates (UK)</t>
  </si>
  <si>
    <t>Certificación notarial</t>
  </si>
  <si>
    <t>Apostilla(s)</t>
  </si>
  <si>
    <t>Certificate of change of name</t>
  </si>
  <si>
    <t>apostilla</t>
  </si>
  <si>
    <t>Police certificate</t>
  </si>
  <si>
    <t>apostillas</t>
  </si>
  <si>
    <t>Certificados de nacimiento y matrimonio</t>
  </si>
  <si>
    <t>Otros documentos</t>
  </si>
  <si>
    <t>Contrato de trabajo</t>
  </si>
  <si>
    <t>palabras</t>
  </si>
  <si>
    <t>Currículum</t>
  </si>
  <si>
    <t>Carta del empleador</t>
  </si>
  <si>
    <t>Extensión contrato de trabajo</t>
  </si>
  <si>
    <t>TOTALES</t>
  </si>
  <si>
    <t>Tarifas base orientativas:</t>
  </si>
  <si>
    <t>• Traducción documentos estándar: 20/30 €/página</t>
  </si>
  <si>
    <t>• Traducción documentos largos: 0,09 €/palabra</t>
  </si>
  <si>
    <t>• Apostilla: 5 €/unidad</t>
  </si>
  <si>
    <t>Nota sobre el IVA:</t>
  </si>
  <si>
    <t>• Todas las personas particulares, al margen de su lugar de residencia fiscal, cuando la traducción se vaya a presentar en España: sumar IVA del 21 %</t>
  </si>
  <si>
    <t>TRANSLATION QUOTE FOR XXXXX - TRANSLATOR: ROCÍO VALERO LUCAS</t>
  </si>
  <si>
    <t>Document description</t>
  </si>
  <si>
    <t>Original PDF name</t>
  </si>
  <si>
    <t>Rate type</t>
  </si>
  <si>
    <t>Quantity</t>
  </si>
  <si>
    <t>Unit</t>
  </si>
  <si>
    <t>Rate</t>
  </si>
  <si>
    <t>Subtotal</t>
  </si>
  <si>
    <t>VAT (21%)</t>
  </si>
  <si>
    <t>Total</t>
  </si>
  <si>
    <t>Standard documents</t>
  </si>
  <si>
    <t>Birth certificate</t>
  </si>
  <si>
    <t>Per page</t>
  </si>
  <si>
    <t>pages</t>
  </si>
  <si>
    <t>Marriage certificate</t>
  </si>
  <si>
    <t>page</t>
  </si>
  <si>
    <t>University degree</t>
  </si>
  <si>
    <t>Notarial certification</t>
  </si>
  <si>
    <t>Apostille(s)</t>
  </si>
  <si>
    <t>apostille</t>
  </si>
  <si>
    <t>apostilles</t>
  </si>
  <si>
    <t>Birth and marriage certificates</t>
  </si>
  <si>
    <t>Other documents</t>
  </si>
  <si>
    <t>Employment contract</t>
  </si>
  <si>
    <t>words</t>
  </si>
  <si>
    <t>CV / Resumé</t>
  </si>
  <si>
    <t>Employer's letter</t>
  </si>
  <si>
    <t>Employment contract extension</t>
  </si>
  <si>
    <t>TOTALS</t>
  </si>
  <si>
    <t>Indicative base rates:</t>
  </si>
  <si>
    <t>• Standard document translation: €20/30/page</t>
  </si>
  <si>
    <t>• Long document translation: €0.09/word</t>
  </si>
  <si>
    <t>• Apostille: €5/unit</t>
  </si>
  <si>
    <t>Note on VAT:</t>
  </si>
  <si>
    <t xml:space="preserve">• Empresas radicadas en España: sumar IVA del 21 % </t>
  </si>
  <si>
    <t>• Empresas radicadas en otro país de la UE sin número de operador intracomunitario: sumar IVA del 21 %</t>
  </si>
  <si>
    <t>• Companies based in Spain: 21% VAT applies</t>
  </si>
  <si>
    <t>• Companies based in another EU country without a VAT number: 21% VAT applies</t>
  </si>
  <si>
    <t>• All individuals, regardless of their tax residence, when the translation is to be submitted in Spain: 21% VAT applies</t>
  </si>
  <si>
    <t>Per document</t>
  </si>
  <si>
    <t>Per word</t>
  </si>
  <si>
    <t>Por documento</t>
  </si>
  <si>
    <t>Por palabra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</si>
</sst>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9" fillId="0" borderId="0" xfId="0" applyFont="1"/>
    <xf numFmtId="164" fontId="0" fillId="0" borderId="0" xfId="0" applyNumberFormat="1"/>
    <xf numFmtId="165" fontId="0" fillId="0" borderId="0" xfId="0" applyNumberFormat="1"/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0" xfId="0" applyFont="1"/>
    <xf numFmtId="0" fontId="7" fillId="0" borderId="0" xfId="0" applyFont="1"/>
    <xf numFmtId="0" fontId="4" fillId="0" borderId="1" xfId="0" applyFont="1" applyBorder="1" applyAlignment="1">
      <alignment vertical="center"/>
    </xf>
    <xf numFmtId="0" fontId="6" fillId="0" borderId="0" xfId="0" applyFont="1"/>
    <xf numFmtId="0" fontId="5" fillId="0" borderId="0" xfId="0" applyFont="1"/>
    <xf numFmtId="0" fontId="12" fillId="0" borderId="1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0" applyNumberFormat="1" applyFont="1" applyBorder="1"/>
    <xf numFmtId="1" fontId="11" fillId="0" borderId="1" xfId="0" applyNumberFormat="1" applyFont="1" applyBorder="1"/>
    <xf numFmtId="3" fontId="11" fillId="0" borderId="1" xfId="0" applyNumberFormat="1" applyFont="1" applyBorder="1"/>
    <xf numFmtId="164" fontId="11" fillId="0" borderId="1" xfId="0" applyNumberFormat="1" applyFont="1" applyBorder="1"/>
    <xf numFmtId="0" fontId="11" fillId="0" borderId="9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2" xfId="0" applyFont="1" applyBorder="1"/>
    <xf numFmtId="0" fontId="11" fillId="0" borderId="6" xfId="0" applyFont="1" applyBorder="1"/>
    <xf numFmtId="0" fontId="11" fillId="0" borderId="10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11" xfId="0" applyFont="1" applyBorder="1"/>
    <xf numFmtId="0" fontId="11" fillId="0" borderId="3" xfId="0" applyFont="1" applyBorder="1"/>
    <xf numFmtId="1" fontId="11" fillId="0" borderId="0" xfId="0" applyNumberFormat="1" applyFont="1"/>
    <xf numFmtId="4" fontId="11" fillId="0" borderId="0" xfId="0" applyNumberFormat="1" applyFont="1"/>
    <xf numFmtId="164" fontId="11" fillId="0" borderId="0" xfId="0" applyNumberFormat="1" applyFont="1"/>
    <xf numFmtId="4" fontId="11" fillId="0" borderId="1" xfId="0" applyNumberFormat="1" applyFont="1" applyBorder="1"/>
    <xf numFmtId="0" fontId="12" fillId="3" borderId="0" xfId="0" applyFont="1" applyFill="1"/>
    <xf numFmtId="0" fontId="11" fillId="3" borderId="0" xfId="0" applyFont="1" applyFill="1"/>
    <xf numFmtId="0" fontId="11" fillId="3" borderId="7" xfId="0" applyFont="1" applyFill="1" applyBorder="1"/>
    <xf numFmtId="164" fontId="12" fillId="3" borderId="7" xfId="0" applyNumberFormat="1" applyFont="1" applyFill="1" applyBorder="1"/>
    <xf numFmtId="0" fontId="12" fillId="0" borderId="0" xfId="0" applyFont="1"/>
    <xf numFmtId="164" fontId="12" fillId="0" borderId="0" xfId="0" applyNumberFormat="1" applyFont="1"/>
    <xf numFmtId="3" fontId="11" fillId="0" borderId="0" xfId="0" applyNumberFormat="1" applyFont="1"/>
    <xf numFmtId="164" fontId="12" fillId="3" borderId="0" xfId="0" applyNumberFormat="1" applyFont="1" applyFill="1"/>
    <xf numFmtId="0" fontId="9" fillId="0" borderId="1" xfId="0" applyFont="1" applyBorder="1"/>
    <xf numFmtId="0" fontId="12" fillId="0" borderId="1" xfId="0" applyFont="1" applyBorder="1"/>
    <xf numFmtId="0" fontId="0" fillId="0" borderId="12" xfId="0" applyBorder="1"/>
    <xf numFmtId="0" fontId="0" fillId="0" borderId="2" xfId="0" applyBorder="1"/>
    <xf numFmtId="0" fontId="12" fillId="0" borderId="0" xfId="0" applyFont="1"/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45"/>
  <sheetViews>
    <sheetView tabSelected="1" zoomScale="115" zoomScaleNormal="115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C14" sqref="C14"/>
    </sheetView>
  </sheetViews>
  <sheetFormatPr baseColWidth="10" defaultColWidth="8.7109375" defaultRowHeight="15" x14ac:dyDescent="0.25"/>
  <cols>
    <col min="1" max="1" width="45.85546875" style="1" customWidth="1"/>
    <col min="2" max="2" width="13.85546875" style="1" bestFit="1" customWidth="1"/>
    <col min="3" max="3" width="18.28515625" style="1" customWidth="1"/>
    <col min="4" max="4" width="9.42578125" style="12" customWidth="1"/>
    <col min="5" max="5" width="7.42578125" style="4" bestFit="1" customWidth="1"/>
    <col min="6" max="6" width="8.42578125" style="11" customWidth="1"/>
    <col min="7" max="7" width="10.28515625" style="11" customWidth="1"/>
    <col min="8" max="8" width="9.85546875" style="11" customWidth="1"/>
    <col min="9" max="9" width="9.7109375" style="11" customWidth="1"/>
    <col min="10" max="10" width="9.85546875" style="1" customWidth="1"/>
    <col min="11" max="11" width="28.140625" style="1" bestFit="1" customWidth="1"/>
    <col min="12" max="13" width="8.7109375" style="1" customWidth="1"/>
    <col min="14" max="14" width="2.140625" style="1" bestFit="1" customWidth="1"/>
    <col min="15" max="16" width="8.7109375" style="1" customWidth="1"/>
    <col min="17" max="16384" width="8.7109375" style="1"/>
  </cols>
  <sheetData>
    <row r="1" spans="1:19" s="7" customFormat="1" ht="12.95" customHeight="1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  <c r="P1" s="24"/>
      <c r="Q1" s="24"/>
      <c r="R1" s="24"/>
      <c r="S1" s="24"/>
    </row>
    <row r="2" spans="1:19" s="3" customFormat="1" ht="15.6" customHeight="1" x14ac:dyDescent="0.25">
      <c r="A2" s="25"/>
      <c r="B2" s="25"/>
      <c r="C2" s="24"/>
      <c r="D2" s="25"/>
      <c r="E2" s="25"/>
      <c r="F2" s="25"/>
      <c r="G2" s="25"/>
      <c r="H2" s="25"/>
      <c r="I2" s="25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s="6" customFormat="1" ht="32.25" customHeight="1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5"/>
      <c r="K3" s="24"/>
      <c r="L3" s="24"/>
      <c r="M3" s="24"/>
      <c r="N3" s="24"/>
      <c r="O3" s="24"/>
      <c r="P3" s="24"/>
      <c r="Q3" s="24"/>
      <c r="R3" s="24"/>
      <c r="S3" s="24"/>
    </row>
    <row r="4" spans="1:19" s="2" customFormat="1" x14ac:dyDescent="0.25">
      <c r="A4" s="23" t="s">
        <v>10</v>
      </c>
      <c r="B4" s="25"/>
      <c r="C4" s="25"/>
      <c r="D4" s="25"/>
      <c r="E4" s="25"/>
      <c r="F4" s="25"/>
      <c r="G4" s="25"/>
      <c r="H4" s="25"/>
      <c r="I4" s="25"/>
      <c r="J4" s="25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25" t="s">
        <v>11</v>
      </c>
      <c r="B5" s="25"/>
      <c r="C5" s="25" t="s">
        <v>12</v>
      </c>
      <c r="D5" s="27">
        <v>3</v>
      </c>
      <c r="E5" s="28" t="s">
        <v>13</v>
      </c>
      <c r="F5" s="29">
        <v>20</v>
      </c>
      <c r="G5" s="29">
        <f t="shared" ref="G5:G11" si="0">D5*F5</f>
        <v>60</v>
      </c>
      <c r="H5" s="29">
        <f t="shared" ref="H5:H11" si="1">G5*0.21</f>
        <v>12.6</v>
      </c>
      <c r="I5" s="29">
        <f t="shared" ref="I5:I11" si="2">G5+H5</f>
        <v>72.599999999999994</v>
      </c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x14ac:dyDescent="0.25">
      <c r="A6" s="25" t="s">
        <v>14</v>
      </c>
      <c r="B6" s="25"/>
      <c r="C6" s="25" t="s">
        <v>12</v>
      </c>
      <c r="D6" s="27">
        <v>1</v>
      </c>
      <c r="E6" s="28" t="s">
        <v>15</v>
      </c>
      <c r="F6" s="29">
        <v>20</v>
      </c>
      <c r="G6" s="29">
        <f t="shared" si="0"/>
        <v>20</v>
      </c>
      <c r="H6" s="29">
        <f t="shared" si="1"/>
        <v>4.2</v>
      </c>
      <c r="I6" s="29">
        <f t="shared" si="2"/>
        <v>24.2</v>
      </c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 x14ac:dyDescent="0.25">
      <c r="A7" s="25" t="s">
        <v>16</v>
      </c>
      <c r="B7" s="25"/>
      <c r="C7" s="25" t="s">
        <v>12</v>
      </c>
      <c r="D7" s="27">
        <v>1</v>
      </c>
      <c r="E7" s="28" t="s">
        <v>15</v>
      </c>
      <c r="F7" s="29">
        <v>20</v>
      </c>
      <c r="G7" s="29">
        <f t="shared" si="0"/>
        <v>20</v>
      </c>
      <c r="H7" s="29">
        <f t="shared" si="1"/>
        <v>4.2</v>
      </c>
      <c r="I7" s="29">
        <f t="shared" si="2"/>
        <v>24.2</v>
      </c>
      <c r="J7" s="24"/>
      <c r="K7" s="24"/>
      <c r="L7" s="24"/>
      <c r="M7" s="24"/>
      <c r="N7" s="24"/>
      <c r="O7" s="24"/>
      <c r="P7" s="24"/>
      <c r="Q7" s="24"/>
      <c r="R7" s="24"/>
      <c r="S7" s="24"/>
    </row>
    <row r="8" spans="1:19" x14ac:dyDescent="0.25">
      <c r="A8" s="25" t="s">
        <v>17</v>
      </c>
      <c r="B8" s="25"/>
      <c r="C8" s="25" t="s">
        <v>12</v>
      </c>
      <c r="D8" s="27">
        <v>1</v>
      </c>
      <c r="E8" s="28" t="s">
        <v>15</v>
      </c>
      <c r="F8" s="29">
        <v>20</v>
      </c>
      <c r="G8" s="29">
        <f t="shared" si="0"/>
        <v>20</v>
      </c>
      <c r="H8" s="29">
        <f t="shared" si="1"/>
        <v>4.2</v>
      </c>
      <c r="I8" s="29">
        <f t="shared" si="2"/>
        <v>24.2</v>
      </c>
      <c r="J8" s="24"/>
      <c r="K8" s="24"/>
      <c r="L8" s="24"/>
      <c r="M8" s="24"/>
      <c r="N8" s="24"/>
      <c r="O8" s="24"/>
      <c r="P8" s="24"/>
      <c r="Q8" s="24"/>
      <c r="R8" s="24"/>
      <c r="S8" s="24"/>
    </row>
    <row r="9" spans="1:19" ht="23.1" customHeight="1" x14ac:dyDescent="0.25">
      <c r="A9" s="25" t="s">
        <v>18</v>
      </c>
      <c r="B9" s="25"/>
      <c r="C9" s="25" t="s">
        <v>12</v>
      </c>
      <c r="D9" s="27">
        <v>1</v>
      </c>
      <c r="E9" s="28" t="s">
        <v>15</v>
      </c>
      <c r="F9" s="29">
        <v>30</v>
      </c>
      <c r="G9" s="29">
        <f t="shared" si="0"/>
        <v>30</v>
      </c>
      <c r="H9" s="29">
        <f t="shared" si="1"/>
        <v>6.3</v>
      </c>
      <c r="I9" s="29">
        <f t="shared" si="2"/>
        <v>36.299999999999997</v>
      </c>
      <c r="J9" s="24"/>
      <c r="K9" s="24"/>
      <c r="L9" s="24"/>
      <c r="M9" s="24"/>
      <c r="N9" s="24"/>
      <c r="O9" s="24"/>
      <c r="P9" s="24"/>
      <c r="Q9" s="24"/>
      <c r="R9" s="24"/>
      <c r="S9" s="24"/>
    </row>
    <row r="10" spans="1:19" x14ac:dyDescent="0.25">
      <c r="A10" s="25" t="s">
        <v>19</v>
      </c>
      <c r="B10" s="25"/>
      <c r="C10" s="25" t="s">
        <v>12</v>
      </c>
      <c r="D10" s="27">
        <v>1</v>
      </c>
      <c r="E10" s="28" t="s">
        <v>15</v>
      </c>
      <c r="F10" s="29">
        <v>20</v>
      </c>
      <c r="G10" s="29">
        <f t="shared" si="0"/>
        <v>20</v>
      </c>
      <c r="H10" s="29">
        <f t="shared" si="1"/>
        <v>4.2</v>
      </c>
      <c r="I10" s="29">
        <f t="shared" si="2"/>
        <v>24.2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spans="1:19" s="8" customFormat="1" ht="11.45" customHeight="1" x14ac:dyDescent="0.25">
      <c r="A11" s="25" t="s">
        <v>20</v>
      </c>
      <c r="B11" s="24"/>
      <c r="C11" s="25" t="s">
        <v>12</v>
      </c>
      <c r="D11" s="27">
        <v>1</v>
      </c>
      <c r="E11" s="28" t="s">
        <v>15</v>
      </c>
      <c r="F11" s="29">
        <v>20</v>
      </c>
      <c r="G11" s="29">
        <f t="shared" si="0"/>
        <v>20</v>
      </c>
      <c r="H11" s="29">
        <f t="shared" si="1"/>
        <v>4.2</v>
      </c>
      <c r="I11" s="29">
        <f t="shared" si="2"/>
        <v>24.2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spans="1:19" ht="15" customHeight="1" thickBo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spans="1:19" s="20" customFormat="1" ht="12" customHeight="1" x14ac:dyDescent="0.25">
      <c r="A13" s="23" t="s">
        <v>21</v>
      </c>
      <c r="B13" s="25"/>
      <c r="C13" s="25"/>
      <c r="D13" s="25"/>
      <c r="E13" s="25"/>
      <c r="F13" s="25"/>
      <c r="G13" s="25"/>
      <c r="H13" s="25"/>
      <c r="I13" s="25"/>
      <c r="J13" s="24"/>
      <c r="K13" s="30"/>
      <c r="L13" s="31"/>
      <c r="M13" s="31"/>
      <c r="N13" s="32"/>
      <c r="O13" s="33"/>
      <c r="P13" s="24"/>
      <c r="Q13" s="24"/>
      <c r="R13" s="24"/>
      <c r="S13" s="24"/>
    </row>
    <row r="14" spans="1:19" x14ac:dyDescent="0.25">
      <c r="A14" s="25" t="s">
        <v>22</v>
      </c>
      <c r="B14" s="25"/>
      <c r="C14" s="25" t="s">
        <v>81</v>
      </c>
      <c r="D14" s="27">
        <v>1</v>
      </c>
      <c r="E14" s="28" t="s">
        <v>23</v>
      </c>
      <c r="F14" s="29">
        <v>5</v>
      </c>
      <c r="G14" s="29">
        <f>D14*F14</f>
        <v>5</v>
      </c>
      <c r="H14" s="29">
        <f>G14*0.21</f>
        <v>1.05</v>
      </c>
      <c r="I14" s="29">
        <f>G14+H14</f>
        <v>6.05</v>
      </c>
      <c r="J14" s="24"/>
      <c r="K14" s="33"/>
      <c r="L14" s="25"/>
      <c r="M14" s="25"/>
      <c r="N14" s="34"/>
      <c r="O14" s="33"/>
      <c r="P14" s="24"/>
      <c r="Q14" s="24"/>
      <c r="R14" s="24"/>
      <c r="S14" s="24"/>
    </row>
    <row r="15" spans="1:19" x14ac:dyDescent="0.25">
      <c r="A15" s="25" t="s">
        <v>24</v>
      </c>
      <c r="B15" s="25"/>
      <c r="C15" s="25" t="s">
        <v>81</v>
      </c>
      <c r="D15" s="27">
        <v>2</v>
      </c>
      <c r="E15" s="28" t="s">
        <v>25</v>
      </c>
      <c r="F15" s="29">
        <v>5</v>
      </c>
      <c r="G15" s="29">
        <f>D15*F15</f>
        <v>10</v>
      </c>
      <c r="H15" s="29">
        <f>G15*0.21</f>
        <v>2.1</v>
      </c>
      <c r="I15" s="29">
        <f>G15+H15</f>
        <v>12.1</v>
      </c>
      <c r="J15" s="24"/>
      <c r="K15" s="33"/>
      <c r="L15" s="25"/>
      <c r="M15" s="25"/>
      <c r="N15" s="34"/>
      <c r="O15" s="33"/>
      <c r="P15" s="24"/>
      <c r="Q15" s="24"/>
      <c r="R15" s="24"/>
      <c r="S15" s="24"/>
    </row>
    <row r="16" spans="1:19" x14ac:dyDescent="0.25">
      <c r="A16" s="25" t="s">
        <v>17</v>
      </c>
      <c r="B16" s="25"/>
      <c r="C16" s="25" t="s">
        <v>81</v>
      </c>
      <c r="D16" s="27">
        <v>1</v>
      </c>
      <c r="E16" s="28" t="s">
        <v>23</v>
      </c>
      <c r="F16" s="29">
        <v>5</v>
      </c>
      <c r="G16" s="29">
        <f>D16*F16</f>
        <v>5</v>
      </c>
      <c r="H16" s="29">
        <f>G16*0.21</f>
        <v>1.05</v>
      </c>
      <c r="I16" s="29">
        <f>G16+H16</f>
        <v>6.05</v>
      </c>
      <c r="J16" s="24"/>
      <c r="K16" s="33"/>
      <c r="L16" s="25"/>
      <c r="M16" s="25"/>
      <c r="N16" s="34"/>
      <c r="O16" s="33"/>
      <c r="P16" s="24"/>
      <c r="Q16" s="24"/>
      <c r="R16" s="24"/>
      <c r="S16" s="24"/>
    </row>
    <row r="17" spans="1:19" x14ac:dyDescent="0.25">
      <c r="A17" s="25" t="s">
        <v>16</v>
      </c>
      <c r="B17" s="25"/>
      <c r="C17" s="25" t="s">
        <v>81</v>
      </c>
      <c r="D17" s="27">
        <v>1</v>
      </c>
      <c r="E17" s="28" t="s">
        <v>23</v>
      </c>
      <c r="F17" s="29">
        <v>5</v>
      </c>
      <c r="G17" s="29">
        <f>D17*F17</f>
        <v>5</v>
      </c>
      <c r="H17" s="29">
        <f>G17*0.21</f>
        <v>1.05</v>
      </c>
      <c r="I17" s="29">
        <f>G17+H17</f>
        <v>6.05</v>
      </c>
      <c r="J17" s="24"/>
      <c r="K17" s="33"/>
      <c r="L17" s="25"/>
      <c r="M17" s="25"/>
      <c r="N17" s="34"/>
      <c r="O17" s="33"/>
      <c r="P17" s="24"/>
      <c r="Q17" s="24"/>
      <c r="R17" s="24"/>
      <c r="S17" s="24"/>
    </row>
    <row r="18" spans="1:19" x14ac:dyDescent="0.25">
      <c r="A18" s="25" t="s">
        <v>26</v>
      </c>
      <c r="B18" s="25"/>
      <c r="C18" s="25" t="s">
        <v>81</v>
      </c>
      <c r="D18" s="27">
        <v>4</v>
      </c>
      <c r="E18" s="28" t="s">
        <v>25</v>
      </c>
      <c r="F18" s="29">
        <v>5</v>
      </c>
      <c r="G18" s="29">
        <f>D18*F18</f>
        <v>20</v>
      </c>
      <c r="H18" s="29">
        <f>G18*0.21</f>
        <v>4.2</v>
      </c>
      <c r="I18" s="29">
        <f>G18+H18</f>
        <v>24.2</v>
      </c>
      <c r="J18" s="24"/>
      <c r="K18" s="33"/>
      <c r="L18" s="25"/>
      <c r="M18" s="25"/>
      <c r="N18" s="34"/>
      <c r="O18" s="33"/>
      <c r="P18" s="24"/>
      <c r="Q18" s="24"/>
      <c r="R18" s="24"/>
      <c r="S18" s="24"/>
    </row>
    <row r="19" spans="1:19" ht="15" customHeight="1" thickBo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4"/>
      <c r="K19" s="35"/>
      <c r="L19" s="36"/>
      <c r="M19" s="36"/>
      <c r="N19" s="37"/>
      <c r="O19" s="33"/>
      <c r="P19" s="24"/>
      <c r="Q19" s="24"/>
      <c r="R19" s="24"/>
      <c r="S19" s="24"/>
    </row>
    <row r="20" spans="1:19" x14ac:dyDescent="0.25">
      <c r="A20" s="23" t="s">
        <v>27</v>
      </c>
      <c r="B20" s="25"/>
      <c r="C20" s="24"/>
      <c r="D20" s="24"/>
      <c r="E20" s="24"/>
      <c r="F20" s="24"/>
      <c r="G20" s="24"/>
      <c r="H20" s="24"/>
      <c r="I20" s="24"/>
      <c r="J20" s="24"/>
      <c r="K20" s="38"/>
      <c r="L20" s="39"/>
      <c r="M20" s="39"/>
      <c r="N20" s="39"/>
      <c r="O20" s="24"/>
      <c r="P20" s="24"/>
      <c r="Q20" s="24"/>
      <c r="R20" s="24"/>
      <c r="S20" s="24"/>
    </row>
    <row r="21" spans="1:19" x14ac:dyDescent="0.25">
      <c r="A21" s="25" t="s">
        <v>28</v>
      </c>
      <c r="B21" s="25"/>
      <c r="C21" s="24" t="s">
        <v>82</v>
      </c>
      <c r="D21" s="40">
        <v>1</v>
      </c>
      <c r="E21" s="41" t="s">
        <v>29</v>
      </c>
      <c r="F21" s="42">
        <v>0.09</v>
      </c>
      <c r="G21" s="42">
        <f>D21*F21</f>
        <v>0.09</v>
      </c>
      <c r="H21" s="42">
        <f>G21*0.21</f>
        <v>1.89E-2</v>
      </c>
      <c r="I21" s="42">
        <f>G21+H21</f>
        <v>0.1089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ht="15.6" customHeight="1" x14ac:dyDescent="0.25">
      <c r="A22" s="25" t="s">
        <v>30</v>
      </c>
      <c r="B22" s="25"/>
      <c r="C22" s="24" t="s">
        <v>82</v>
      </c>
      <c r="D22" s="27">
        <v>1</v>
      </c>
      <c r="E22" s="43" t="s">
        <v>29</v>
      </c>
      <c r="F22" s="29">
        <v>0.09</v>
      </c>
      <c r="G22" s="29">
        <f>D22*F22</f>
        <v>0.09</v>
      </c>
      <c r="H22" s="29">
        <f>G22*0.21</f>
        <v>1.89E-2</v>
      </c>
      <c r="I22" s="29">
        <f>G22+H22</f>
        <v>0.1089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spans="1:19" ht="15.6" customHeight="1" x14ac:dyDescent="0.25">
      <c r="A23" s="25" t="s">
        <v>31</v>
      </c>
      <c r="B23" s="25"/>
      <c r="C23" s="24" t="s">
        <v>82</v>
      </c>
      <c r="D23" s="27">
        <v>1</v>
      </c>
      <c r="E23" s="43" t="s">
        <v>29</v>
      </c>
      <c r="F23" s="29">
        <v>0.09</v>
      </c>
      <c r="G23" s="29">
        <f>D23*F23</f>
        <v>0.09</v>
      </c>
      <c r="H23" s="29">
        <f>G23*0.21</f>
        <v>1.89E-2</v>
      </c>
      <c r="I23" s="29">
        <f>G23+H23</f>
        <v>0.1089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spans="1:19" ht="15.6" customHeight="1" x14ac:dyDescent="0.25">
      <c r="A24" s="25" t="s">
        <v>32</v>
      </c>
      <c r="B24" s="25"/>
      <c r="C24" s="24" t="s">
        <v>82</v>
      </c>
      <c r="D24" s="27">
        <v>1</v>
      </c>
      <c r="E24" s="43" t="s">
        <v>29</v>
      </c>
      <c r="F24" s="29">
        <v>0.09</v>
      </c>
      <c r="G24" s="29">
        <f>D24*F24</f>
        <v>0.09</v>
      </c>
      <c r="H24" s="29">
        <f>G24*0.21</f>
        <v>1.89E-2</v>
      </c>
      <c r="I24" s="29">
        <f>G24+H24</f>
        <v>0.1089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spans="1:19" s="3" customFormat="1" ht="15.6" customHeight="1" x14ac:dyDescent="0.25">
      <c r="A25" s="25"/>
      <c r="B25" s="25"/>
      <c r="C25" s="24"/>
      <c r="D25" s="25"/>
      <c r="E25" s="25"/>
      <c r="F25" s="25"/>
      <c r="G25" s="25"/>
      <c r="H25" s="25"/>
      <c r="I25" s="25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1:19" s="10" customFormat="1" ht="15.95" customHeight="1" thickBot="1" x14ac:dyDescent="0.3">
      <c r="A26" s="44" t="s">
        <v>33</v>
      </c>
      <c r="B26" s="45"/>
      <c r="C26" s="45"/>
      <c r="D26" s="46"/>
      <c r="E26" s="46"/>
      <c r="F26" s="46"/>
      <c r="G26" s="47">
        <f>SUM(G5:G24)</f>
        <v>235.36</v>
      </c>
      <c r="H26" s="47">
        <f>SUM(H5:H24)</f>
        <v>49.42560000000001</v>
      </c>
      <c r="I26" s="47">
        <f>SUM(I5:I24)</f>
        <v>284.78559999999999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spans="1:19" s="9" customFormat="1" ht="12.95" customHeight="1" x14ac:dyDescent="0.25">
      <c r="A27" s="39"/>
      <c r="B27" s="39"/>
      <c r="C27" s="24"/>
      <c r="D27" s="39"/>
      <c r="E27" s="39"/>
      <c r="F27" s="39"/>
      <c r="G27" s="39"/>
      <c r="H27" s="39"/>
      <c r="I27" s="39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spans="1:19" s="5" customFormat="1" ht="12.95" customHeight="1" x14ac:dyDescent="0.25">
      <c r="A28" s="23" t="s">
        <v>34</v>
      </c>
      <c r="B28" s="25"/>
      <c r="C28" s="24"/>
      <c r="D28" s="25"/>
      <c r="E28" s="25"/>
      <c r="F28" s="25"/>
      <c r="G28" s="25"/>
      <c r="H28" s="25"/>
      <c r="I28" s="25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spans="1:19" s="5" customFormat="1" ht="12.95" customHeight="1" x14ac:dyDescent="0.25">
      <c r="A29" s="25" t="s">
        <v>35</v>
      </c>
      <c r="B29" s="25"/>
      <c r="C29" s="24"/>
      <c r="D29" s="25"/>
      <c r="E29" s="25"/>
      <c r="F29" s="25"/>
      <c r="G29" s="25"/>
      <c r="H29" s="25"/>
      <c r="I29" s="25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spans="1:19" s="5" customFormat="1" ht="12.95" customHeight="1" x14ac:dyDescent="0.25">
      <c r="A30" s="25" t="s">
        <v>36</v>
      </c>
      <c r="B30" s="25"/>
      <c r="C30" s="24"/>
      <c r="D30" s="25"/>
      <c r="E30" s="25"/>
      <c r="F30" s="25"/>
      <c r="G30" s="25"/>
      <c r="H30" s="25"/>
      <c r="I30" s="25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s="5" customFormat="1" ht="12.95" customHeight="1" x14ac:dyDescent="0.25">
      <c r="A31" s="25" t="s">
        <v>37</v>
      </c>
      <c r="B31" s="25"/>
      <c r="C31" s="24"/>
      <c r="D31" s="25"/>
      <c r="E31" s="25"/>
      <c r="F31" s="25"/>
      <c r="G31" s="25"/>
      <c r="H31" s="25"/>
      <c r="I31" s="25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spans="1:19" s="5" customFormat="1" ht="12.95" customHeight="1" x14ac:dyDescent="0.25">
      <c r="A32" s="25"/>
      <c r="B32" s="25"/>
      <c r="C32" s="24"/>
      <c r="D32" s="25"/>
      <c r="E32" s="25"/>
      <c r="F32" s="25"/>
      <c r="G32" s="25"/>
      <c r="H32" s="25"/>
      <c r="I32" s="25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spans="1:19" s="16" customFormat="1" ht="12.95" customHeight="1" x14ac:dyDescent="0.25">
      <c r="A33" s="23" t="s">
        <v>38</v>
      </c>
      <c r="B33" s="25"/>
      <c r="C33" s="24"/>
      <c r="D33" s="25"/>
      <c r="E33" s="25"/>
      <c r="F33" s="25"/>
      <c r="G33" s="25"/>
      <c r="H33" s="25"/>
      <c r="I33" s="25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spans="1:19" s="17" customFormat="1" x14ac:dyDescent="0.25">
      <c r="A34" s="52" t="s">
        <v>74</v>
      </c>
      <c r="B34" s="24"/>
      <c r="C34" s="24"/>
      <c r="D34" s="25"/>
      <c r="E34" s="25"/>
      <c r="F34" s="25"/>
      <c r="G34" s="25"/>
      <c r="H34" s="25"/>
      <c r="I34" s="25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19" s="16" customFormat="1" ht="12.95" customHeight="1" x14ac:dyDescent="0.25">
      <c r="A35" s="52" t="s">
        <v>75</v>
      </c>
      <c r="B35" s="25"/>
      <c r="C35" s="24"/>
      <c r="D35" s="25"/>
      <c r="E35" s="25"/>
      <c r="F35" s="25"/>
      <c r="G35" s="25"/>
      <c r="H35" s="25"/>
      <c r="I35" s="25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spans="1:19" x14ac:dyDescent="0.25">
      <c r="A36" s="48" t="s">
        <v>39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spans="1:19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spans="1:19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spans="1:19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spans="1:19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spans="1:19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spans="1:19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spans="1:19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spans="1:19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spans="1:19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</sheetData>
  <mergeCells count="1">
    <mergeCell ref="A1:O1"/>
  </mergeCells>
  <pageMargins left="0.7" right="0.7" top="0.75" bottom="0.75" header="0.3" footer="0.3"/>
  <pageSetup paperSize="9" orientation="portrait" horizontalDpi="3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"/>
  <sheetViews>
    <sheetView zoomScale="115" zoomScaleNormal="115" workbookViewId="0">
      <selection activeCell="C21" sqref="C21:C24"/>
    </sheetView>
  </sheetViews>
  <sheetFormatPr baseColWidth="10" defaultColWidth="8.7109375" defaultRowHeight="15" x14ac:dyDescent="0.25"/>
  <cols>
    <col min="1" max="1" width="44.42578125" customWidth="1"/>
    <col min="2" max="2" width="22" customWidth="1"/>
    <col min="3" max="3" width="14" customWidth="1"/>
    <col min="4" max="5" width="10" customWidth="1"/>
    <col min="6" max="6" width="10" style="15" customWidth="1"/>
    <col min="7" max="7" width="14" style="15" customWidth="1"/>
    <col min="8" max="8" width="12" style="14" customWidth="1"/>
    <col min="9" max="9" width="14" style="14" customWidth="1"/>
    <col min="11" max="11" width="35" customWidth="1"/>
    <col min="14" max="14" width="8" customWidth="1"/>
  </cols>
  <sheetData>
    <row r="1" spans="1:19" ht="15.6" customHeight="1" x14ac:dyDescent="0.25">
      <c r="A1" s="56" t="s">
        <v>40</v>
      </c>
      <c r="B1" s="57"/>
      <c r="C1" s="57"/>
      <c r="D1" s="57"/>
      <c r="E1" s="57"/>
      <c r="F1" s="58"/>
      <c r="G1" s="58"/>
      <c r="H1" s="59"/>
      <c r="I1" s="59"/>
      <c r="J1" s="57"/>
      <c r="K1" s="57"/>
      <c r="L1" s="57"/>
      <c r="M1" s="57"/>
      <c r="N1" s="57"/>
      <c r="O1" s="57"/>
      <c r="P1" s="24"/>
      <c r="Q1" s="24"/>
      <c r="R1" s="24"/>
      <c r="S1" s="24"/>
    </row>
    <row r="2" spans="1:19" ht="15.6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x14ac:dyDescent="0.25">
      <c r="A3" s="48" t="s">
        <v>41</v>
      </c>
      <c r="B3" s="48" t="s">
        <v>42</v>
      </c>
      <c r="C3" s="48" t="s">
        <v>43</v>
      </c>
      <c r="D3" s="48" t="s">
        <v>44</v>
      </c>
      <c r="E3" s="48" t="s">
        <v>45</v>
      </c>
      <c r="F3" s="49" t="s">
        <v>46</v>
      </c>
      <c r="G3" s="49" t="s">
        <v>47</v>
      </c>
      <c r="H3" s="49" t="s">
        <v>48</v>
      </c>
      <c r="I3" s="49" t="s">
        <v>49</v>
      </c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s="19" customFormat="1" ht="11.45" customHeight="1" x14ac:dyDescent="0.25">
      <c r="A4" s="48" t="s">
        <v>50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s="19" customFormat="1" ht="11.45" customHeight="1" x14ac:dyDescent="0.25">
      <c r="A5" s="24" t="s">
        <v>51</v>
      </c>
      <c r="B5" s="24"/>
      <c r="C5" s="24" t="s">
        <v>52</v>
      </c>
      <c r="D5" s="40">
        <v>3</v>
      </c>
      <c r="E5" s="50" t="s">
        <v>53</v>
      </c>
      <c r="F5" s="42">
        <v>20</v>
      </c>
      <c r="G5" s="42">
        <f t="shared" ref="G5:G11" si="0">D5*F5</f>
        <v>60</v>
      </c>
      <c r="H5" s="42">
        <f t="shared" ref="H5:H11" si="1">G5*0.21</f>
        <v>12.6</v>
      </c>
      <c r="I5" s="42">
        <f t="shared" ref="I5:I11" si="2">G5+H5</f>
        <v>72.599999999999994</v>
      </c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s="19" customFormat="1" ht="11.45" customHeight="1" x14ac:dyDescent="0.25">
      <c r="A6" s="24" t="s">
        <v>54</v>
      </c>
      <c r="B6" s="24"/>
      <c r="C6" s="24" t="s">
        <v>52</v>
      </c>
      <c r="D6" s="40">
        <v>1</v>
      </c>
      <c r="E6" s="50" t="s">
        <v>55</v>
      </c>
      <c r="F6" s="42">
        <v>20</v>
      </c>
      <c r="G6" s="42">
        <f t="shared" si="0"/>
        <v>20</v>
      </c>
      <c r="H6" s="42">
        <f t="shared" si="1"/>
        <v>4.2</v>
      </c>
      <c r="I6" s="42">
        <f t="shared" si="2"/>
        <v>24.2</v>
      </c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 s="19" customFormat="1" ht="11.45" customHeight="1" x14ac:dyDescent="0.25">
      <c r="A7" s="24" t="s">
        <v>56</v>
      </c>
      <c r="B7" s="24"/>
      <c r="C7" s="24" t="s">
        <v>52</v>
      </c>
      <c r="D7" s="40">
        <v>1</v>
      </c>
      <c r="E7" s="50" t="s">
        <v>55</v>
      </c>
      <c r="F7" s="42">
        <v>20</v>
      </c>
      <c r="G7" s="42">
        <f t="shared" si="0"/>
        <v>20</v>
      </c>
      <c r="H7" s="42">
        <f t="shared" si="1"/>
        <v>4.2</v>
      </c>
      <c r="I7" s="42">
        <f t="shared" si="2"/>
        <v>24.2</v>
      </c>
      <c r="J7" s="24"/>
      <c r="K7" s="24"/>
      <c r="L7" s="24"/>
      <c r="M7" s="24"/>
      <c r="N7" s="24"/>
      <c r="O7" s="24"/>
      <c r="P7" s="24"/>
      <c r="Q7" s="24"/>
      <c r="R7" s="24"/>
      <c r="S7" s="24"/>
    </row>
    <row r="8" spans="1:19" s="19" customFormat="1" ht="11.45" customHeight="1" x14ac:dyDescent="0.25">
      <c r="A8" s="24" t="s">
        <v>17</v>
      </c>
      <c r="B8" s="24"/>
      <c r="C8" s="24" t="s">
        <v>52</v>
      </c>
      <c r="D8" s="40">
        <v>1</v>
      </c>
      <c r="E8" s="50" t="s">
        <v>55</v>
      </c>
      <c r="F8" s="42">
        <v>20</v>
      </c>
      <c r="G8" s="42">
        <f t="shared" si="0"/>
        <v>20</v>
      </c>
      <c r="H8" s="42">
        <f t="shared" si="1"/>
        <v>4.2</v>
      </c>
      <c r="I8" s="42">
        <f t="shared" si="2"/>
        <v>24.2</v>
      </c>
      <c r="J8" s="24"/>
      <c r="K8" s="24"/>
      <c r="L8" s="24"/>
      <c r="M8" s="24"/>
      <c r="N8" s="24"/>
      <c r="O8" s="24"/>
      <c r="P8" s="24"/>
      <c r="Q8" s="24"/>
      <c r="R8" s="24"/>
      <c r="S8" s="24"/>
    </row>
    <row r="9" spans="1:19" s="19" customFormat="1" ht="11.45" customHeight="1" x14ac:dyDescent="0.25">
      <c r="A9" s="24" t="s">
        <v>18</v>
      </c>
      <c r="B9" s="24"/>
      <c r="C9" s="24" t="s">
        <v>52</v>
      </c>
      <c r="D9" s="40">
        <v>1</v>
      </c>
      <c r="E9" s="50" t="s">
        <v>55</v>
      </c>
      <c r="F9" s="42">
        <v>30</v>
      </c>
      <c r="G9" s="42">
        <f t="shared" si="0"/>
        <v>30</v>
      </c>
      <c r="H9" s="42">
        <f t="shared" si="1"/>
        <v>6.3</v>
      </c>
      <c r="I9" s="42">
        <f t="shared" si="2"/>
        <v>36.299999999999997</v>
      </c>
      <c r="J9" s="24"/>
      <c r="K9" s="24"/>
      <c r="L9" s="24"/>
      <c r="M9" s="24"/>
      <c r="N9" s="24"/>
      <c r="O9" s="24"/>
      <c r="P9" s="24"/>
      <c r="Q9" s="24"/>
      <c r="R9" s="24"/>
      <c r="S9" s="24"/>
    </row>
    <row r="10" spans="1:19" s="19" customFormat="1" ht="11.45" customHeight="1" x14ac:dyDescent="0.25">
      <c r="A10" s="24" t="s">
        <v>19</v>
      </c>
      <c r="B10" s="24"/>
      <c r="C10" s="24" t="s">
        <v>52</v>
      </c>
      <c r="D10" s="40">
        <v>1</v>
      </c>
      <c r="E10" s="50" t="s">
        <v>55</v>
      </c>
      <c r="F10" s="42">
        <v>20</v>
      </c>
      <c r="G10" s="42">
        <f t="shared" si="0"/>
        <v>20</v>
      </c>
      <c r="H10" s="42">
        <f t="shared" si="1"/>
        <v>4.2</v>
      </c>
      <c r="I10" s="42">
        <f t="shared" si="2"/>
        <v>24.2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spans="1:19" s="19" customFormat="1" ht="11.45" customHeight="1" x14ac:dyDescent="0.25">
      <c r="A11" s="24" t="s">
        <v>57</v>
      </c>
      <c r="B11" s="24"/>
      <c r="C11" s="24" t="s">
        <v>52</v>
      </c>
      <c r="D11" s="40">
        <v>1</v>
      </c>
      <c r="E11" s="50" t="s">
        <v>55</v>
      </c>
      <c r="F11" s="42">
        <v>20</v>
      </c>
      <c r="G11" s="42">
        <f t="shared" si="0"/>
        <v>20</v>
      </c>
      <c r="H11" s="42">
        <f t="shared" si="1"/>
        <v>4.2</v>
      </c>
      <c r="I11" s="42">
        <f t="shared" si="2"/>
        <v>24.2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spans="1:19" s="19" customFormat="1" ht="11.45" customHeight="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</row>
    <row r="13" spans="1:19" s="19" customFormat="1" ht="11.45" customHeight="1" x14ac:dyDescent="0.25">
      <c r="A13" s="48" t="s">
        <v>58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</row>
    <row r="14" spans="1:19" s="19" customFormat="1" ht="11.45" customHeight="1" x14ac:dyDescent="0.25">
      <c r="A14" s="24" t="s">
        <v>22</v>
      </c>
      <c r="B14" s="24"/>
      <c r="C14" s="24" t="s">
        <v>79</v>
      </c>
      <c r="D14" s="40">
        <v>1</v>
      </c>
      <c r="E14" s="50" t="s">
        <v>59</v>
      </c>
      <c r="F14" s="42">
        <v>5</v>
      </c>
      <c r="G14" s="42">
        <f>D14*F14</f>
        <v>5</v>
      </c>
      <c r="H14" s="42">
        <f>G14*0.21</f>
        <v>1.05</v>
      </c>
      <c r="I14" s="42">
        <f>G14+H14</f>
        <v>6.05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spans="1:19" s="19" customFormat="1" ht="11.45" customHeight="1" x14ac:dyDescent="0.25">
      <c r="A15" s="24" t="s">
        <v>24</v>
      </c>
      <c r="B15" s="24"/>
      <c r="C15" s="24" t="s">
        <v>79</v>
      </c>
      <c r="D15" s="40">
        <v>2</v>
      </c>
      <c r="E15" s="50" t="s">
        <v>60</v>
      </c>
      <c r="F15" s="42">
        <v>5</v>
      </c>
      <c r="G15" s="42">
        <f>D15*F15</f>
        <v>10</v>
      </c>
      <c r="H15" s="42">
        <f>G15*0.21</f>
        <v>2.1</v>
      </c>
      <c r="I15" s="42">
        <f>G15+H15</f>
        <v>12.1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spans="1:19" s="19" customFormat="1" ht="11.45" customHeight="1" x14ac:dyDescent="0.25">
      <c r="A16" s="24" t="s">
        <v>17</v>
      </c>
      <c r="B16" s="24"/>
      <c r="C16" s="24" t="s">
        <v>79</v>
      </c>
      <c r="D16" s="40">
        <v>1</v>
      </c>
      <c r="E16" s="50" t="s">
        <v>59</v>
      </c>
      <c r="F16" s="42">
        <v>5</v>
      </c>
      <c r="G16" s="42">
        <f>D16*F16</f>
        <v>5</v>
      </c>
      <c r="H16" s="42">
        <f>G16*0.21</f>
        <v>1.05</v>
      </c>
      <c r="I16" s="42">
        <f>G16+H16</f>
        <v>6.05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spans="1:19" s="19" customFormat="1" ht="11.45" customHeight="1" x14ac:dyDescent="0.25">
      <c r="A17" s="24" t="s">
        <v>56</v>
      </c>
      <c r="B17" s="24"/>
      <c r="C17" s="24" t="s">
        <v>79</v>
      </c>
      <c r="D17" s="40">
        <v>1</v>
      </c>
      <c r="E17" s="50" t="s">
        <v>59</v>
      </c>
      <c r="F17" s="42">
        <v>5</v>
      </c>
      <c r="G17" s="42">
        <f>D17*F17</f>
        <v>5</v>
      </c>
      <c r="H17" s="42">
        <f>G17*0.21</f>
        <v>1.05</v>
      </c>
      <c r="I17" s="42">
        <f>G17+H17</f>
        <v>6.05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spans="1:19" s="19" customFormat="1" ht="11.45" customHeight="1" x14ac:dyDescent="0.25">
      <c r="A18" s="24" t="s">
        <v>61</v>
      </c>
      <c r="B18" s="24"/>
      <c r="C18" s="24" t="s">
        <v>79</v>
      </c>
      <c r="D18" s="40">
        <v>4</v>
      </c>
      <c r="E18" s="50" t="s">
        <v>60</v>
      </c>
      <c r="F18" s="42">
        <v>5</v>
      </c>
      <c r="G18" s="42">
        <f>D18*F18</f>
        <v>20</v>
      </c>
      <c r="H18" s="42">
        <f>G18*0.21</f>
        <v>4.2</v>
      </c>
      <c r="I18" s="42">
        <f>G18+H18</f>
        <v>24.2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spans="1:19" s="19" customFormat="1" ht="11.4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spans="1:19" s="19" customFormat="1" ht="11.45" customHeight="1" x14ac:dyDescent="0.25">
      <c r="A20" s="48" t="s">
        <v>62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spans="1:19" s="19" customFormat="1" ht="11.45" customHeight="1" x14ac:dyDescent="0.25">
      <c r="A21" s="24" t="s">
        <v>63</v>
      </c>
      <c r="B21" s="24"/>
      <c r="C21" s="24" t="s">
        <v>80</v>
      </c>
      <c r="D21" s="40">
        <v>1</v>
      </c>
      <c r="E21" s="41" t="s">
        <v>64</v>
      </c>
      <c r="F21" s="42">
        <v>0.09</v>
      </c>
      <c r="G21" s="42">
        <f>D21*F21</f>
        <v>0.09</v>
      </c>
      <c r="H21" s="42">
        <f>G21*0.21</f>
        <v>1.89E-2</v>
      </c>
      <c r="I21" s="42">
        <f>G21+H21</f>
        <v>0.1089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s="19" customFormat="1" ht="11.45" customHeight="1" x14ac:dyDescent="0.25">
      <c r="A22" s="24" t="s">
        <v>65</v>
      </c>
      <c r="B22" s="24"/>
      <c r="C22" s="24" t="s">
        <v>80</v>
      </c>
      <c r="D22" s="40">
        <v>1</v>
      </c>
      <c r="E22" s="41" t="s">
        <v>64</v>
      </c>
      <c r="F22" s="42">
        <v>0.09</v>
      </c>
      <c r="G22" s="42">
        <f>D22*F22</f>
        <v>0.09</v>
      </c>
      <c r="H22" s="42">
        <f>G22*0.21</f>
        <v>1.89E-2</v>
      </c>
      <c r="I22" s="42">
        <f>G22+H22</f>
        <v>0.1089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spans="1:19" s="19" customFormat="1" ht="11.45" customHeight="1" x14ac:dyDescent="0.25">
      <c r="A23" s="24" t="s">
        <v>66</v>
      </c>
      <c r="B23" s="24"/>
      <c r="C23" s="24" t="s">
        <v>80</v>
      </c>
      <c r="D23" s="40">
        <v>1</v>
      </c>
      <c r="E23" s="41" t="s">
        <v>64</v>
      </c>
      <c r="F23" s="42">
        <v>0.09</v>
      </c>
      <c r="G23" s="42">
        <f>D23*F23</f>
        <v>0.09</v>
      </c>
      <c r="H23" s="42">
        <f>G23*0.21</f>
        <v>1.89E-2</v>
      </c>
      <c r="I23" s="42">
        <f>G23+H23</f>
        <v>0.1089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spans="1:19" s="19" customFormat="1" ht="11.45" customHeight="1" x14ac:dyDescent="0.25">
      <c r="A24" s="24" t="s">
        <v>67</v>
      </c>
      <c r="B24" s="24"/>
      <c r="C24" s="24" t="s">
        <v>80</v>
      </c>
      <c r="D24" s="40">
        <v>1</v>
      </c>
      <c r="E24" s="41" t="s">
        <v>64</v>
      </c>
      <c r="F24" s="42">
        <v>0.09</v>
      </c>
      <c r="G24" s="42">
        <f>D24*F24</f>
        <v>0.09</v>
      </c>
      <c r="H24" s="42">
        <f>G24*0.21</f>
        <v>1.89E-2</v>
      </c>
      <c r="I24" s="42">
        <f>G24+H24</f>
        <v>0.1089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spans="1:19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1:19" s="18" customFormat="1" ht="14.1" customHeight="1" x14ac:dyDescent="0.25">
      <c r="A26" s="44" t="s">
        <v>68</v>
      </c>
      <c r="B26" s="45"/>
      <c r="C26" s="45"/>
      <c r="D26" s="45"/>
      <c r="E26" s="45"/>
      <c r="F26" s="45"/>
      <c r="G26" s="51">
        <f>SUM(G5:G24)</f>
        <v>235.36</v>
      </c>
      <c r="H26" s="51">
        <f>SUM(H5:H24)</f>
        <v>49.42560000000001</v>
      </c>
      <c r="I26" s="51">
        <f>SUM(I5:I24)</f>
        <v>284.78559999999999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spans="1:19" s="18" customFormat="1" ht="14.1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spans="1:19" s="18" customFormat="1" ht="14.1" customHeight="1" x14ac:dyDescent="0.25">
      <c r="A28" s="48" t="s">
        <v>69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spans="1:19" s="18" customFormat="1" ht="14.1" customHeight="1" x14ac:dyDescent="0.25">
      <c r="A29" s="24" t="s">
        <v>70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spans="1:19" s="18" customFormat="1" ht="14.1" customHeight="1" x14ac:dyDescent="0.25">
      <c r="A30" s="24" t="s">
        <v>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s="21" customFormat="1" ht="12.95" customHeight="1" x14ac:dyDescent="0.25">
      <c r="A31" s="24" t="s">
        <v>72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spans="1:19" s="22" customFormat="1" ht="12.9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spans="1:19" s="22" customFormat="1" ht="12.95" customHeight="1" x14ac:dyDescent="0.25">
      <c r="A33" s="48" t="s">
        <v>73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spans="1:19" s="22" customFormat="1" ht="12.95" customHeight="1" x14ac:dyDescent="0.25">
      <c r="A34" s="13" t="s">
        <v>76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19" x14ac:dyDescent="0.25">
      <c r="A35" s="13" t="s">
        <v>77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spans="1:19" x14ac:dyDescent="0.25">
      <c r="A36" s="13" t="s">
        <v>78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spans="1:19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spans="1:19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spans="1:19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spans="1:19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spans="1:19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spans="1:19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spans="1:19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spans="1:19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spans="1:19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</sheetData>
  <mergeCells count="1">
    <mergeCell ref="A1:O1"/>
  </mergeCells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spanish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Valero</dc:creator>
  <cp:lastModifiedBy>Rocío Valero</cp:lastModifiedBy>
  <dcterms:created xsi:type="dcterms:W3CDTF">2015-06-05T18:19:34Z</dcterms:created>
  <dcterms:modified xsi:type="dcterms:W3CDTF">2026-03-05T06:52:29Z</dcterms:modified>
</cp:coreProperties>
</file>