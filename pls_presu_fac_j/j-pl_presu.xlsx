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10" yWindow="-110" windowWidth="24900" windowHeight="14500" tabRatio="600" firstSheet="0" activeTab="0" autoFilterDateGrouping="1"/>
  </bookViews>
  <sheets>
    <sheet xmlns:r="http://schemas.openxmlformats.org/officeDocument/2006/relationships" name="spanish" sheetId="1" state="visible" r:id="rId1"/>
    <sheet xmlns:r="http://schemas.openxmlformats.org/officeDocument/2006/relationships" name="english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\ &quot;€&quot;"/>
    <numFmt numFmtId="166" formatCode="#,##0.00 &quot;€&quot;"/>
  </numFmts>
  <fonts count="29"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Calibri"/>
      <family val="2"/>
      <color theme="1"/>
      <sz val="12"/>
      <scheme val="minor"/>
    </font>
    <font>
      <name val="Arial"/>
      <family val="2"/>
      <b val="1"/>
      <color rgb="FF27AE60"/>
      <sz val="12"/>
    </font>
    <font>
      <name val="Calibri"/>
      <family val="2"/>
      <b val="1"/>
      <color theme="9"/>
      <sz val="12"/>
      <scheme val="minor"/>
    </font>
    <font>
      <name val="Calibri"/>
      <family val="2"/>
      <b val="1"/>
      <i val="1"/>
      <color theme="1"/>
      <sz val="9"/>
      <scheme val="minor"/>
    </font>
    <font>
      <name val="Calibri"/>
      <family val="2"/>
      <i val="1"/>
      <color theme="1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color theme="1"/>
      <sz val="9"/>
      <scheme val="minor"/>
    </font>
    <font>
      <name val="Arial"/>
      <family val="2"/>
      <b val="1"/>
      <color rgb="FF2C3E50"/>
      <sz val="12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rgb="FF2C3E50"/>
      <sz val="10"/>
    </font>
    <font>
      <name val="Arial"/>
      <family val="2"/>
      <b val="1"/>
      <color theme="1"/>
      <sz val="9"/>
    </font>
    <font>
      <name val="Calibri"/>
      <family val="2"/>
      <i val="1"/>
      <color theme="1"/>
      <sz val="11"/>
      <scheme val="minor"/>
    </font>
    <font>
      <name val="Arial"/>
      <family val="2"/>
      <i val="1"/>
      <color theme="1"/>
      <sz val="9"/>
    </font>
    <font>
      <name val="Arial"/>
      <family val="2"/>
      <color theme="1"/>
      <sz val="9"/>
    </font>
    <font>
      <name val="Calibri"/>
      <family val="2"/>
      <b val="1"/>
      <color theme="1"/>
      <sz val="11"/>
      <scheme val="minor"/>
    </font>
    <font>
      <name val="Calibri"/>
      <b val="1"/>
      <sz val="12"/>
    </font>
    <font>
      <name val="Calibri"/>
      <b val="1"/>
      <sz val="11"/>
    </font>
    <font>
      <name val="Calibri"/>
      <family val="2"/>
      <b val="1"/>
      <color theme="1"/>
      <sz val="10"/>
      <scheme val="minor"/>
    </font>
    <font>
      <name val="Arial"/>
      <family val="2"/>
      <b val="1"/>
      <sz val="9"/>
    </font>
    <font>
      <name val="Arial"/>
      <family val="2"/>
      <b val="1"/>
      <color rgb="FF27AE60"/>
      <sz val="11"/>
    </font>
    <font>
      <name val="Calibri"/>
      <family val="2"/>
      <b val="1"/>
      <color theme="9"/>
      <sz val="11"/>
      <scheme val="minor"/>
    </font>
    <font>
      <name val="Arial"/>
      <family val="2"/>
      <b val="1"/>
      <sz val="10"/>
    </font>
    <font/>
    <font>
      <b val="1"/>
    </font>
  </fonts>
  <fills count="6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00D9D9D9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1">
    <xf numFmtId="0" fontId="0" fillId="0" borderId="0" pivotButton="0" quotePrefix="0" xfId="0"/>
    <xf numFmtId="0" fontId="0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/>
    </xf>
    <xf numFmtId="0" fontId="2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4" fontId="3" fillId="0" borderId="1" applyAlignment="1" pivotButton="0" quotePrefix="0" xfId="0">
      <alignment horizontal="left" vertical="top" wrapText="1"/>
    </xf>
    <xf numFmtId="4" fontId="4" fillId="0" borderId="1" applyAlignment="1" pivotButton="0" quotePrefix="0" xfId="0">
      <alignment vertical="center"/>
    </xf>
    <xf numFmtId="4" fontId="4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3" fontId="1" fillId="0" borderId="1" applyAlignment="1" pivotButton="0" quotePrefix="0" xfId="0">
      <alignment vertical="center"/>
    </xf>
    <xf numFmtId="4" fontId="1" fillId="0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top" wrapText="1"/>
    </xf>
    <xf numFmtId="4" fontId="15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vertical="center"/>
    </xf>
    <xf numFmtId="0" fontId="14" fillId="3" borderId="1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4" fontId="1" fillId="3" borderId="1" applyAlignment="1" pivotButton="0" quotePrefix="0" xfId="0">
      <alignment vertical="center"/>
    </xf>
    <xf numFmtId="0" fontId="18" fillId="0" borderId="1" applyAlignment="1" pivotButton="0" quotePrefix="0" xfId="0">
      <alignment vertical="center" wrapText="1"/>
    </xf>
    <xf numFmtId="0" fontId="17" fillId="0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9" fillId="4" borderId="9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4" borderId="2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right" vertical="center"/>
    </xf>
    <xf numFmtId="3" fontId="8" fillId="4" borderId="6" applyAlignment="1" pivotButton="0" quotePrefix="0" xfId="0">
      <alignment vertical="center"/>
    </xf>
    <xf numFmtId="0" fontId="7" fillId="4" borderId="10" applyAlignment="1" pivotButton="0" quotePrefix="0" xfId="0">
      <alignment vertical="center"/>
    </xf>
    <xf numFmtId="0" fontId="16" fillId="4" borderId="7" applyAlignment="1" pivotButton="0" quotePrefix="0" xfId="0">
      <alignment vertical="center"/>
    </xf>
    <xf numFmtId="0" fontId="16" fillId="4" borderId="7" applyAlignment="1" pivotButton="0" quotePrefix="0" xfId="0">
      <alignment horizontal="right" vertical="center"/>
    </xf>
    <xf numFmtId="3" fontId="7" fillId="4" borderId="8" applyAlignment="1" pivotButton="0" quotePrefix="0" xfId="0">
      <alignment vertical="center"/>
    </xf>
    <xf numFmtId="0" fontId="12" fillId="0" borderId="3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4" fontId="1" fillId="0" borderId="3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4" fontId="4" fillId="0" borderId="7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1" fillId="3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164" fontId="15" fillId="0" borderId="1" applyAlignment="1" pivotButton="0" quotePrefix="0" xfId="0">
      <alignment horizontal="left" vertical="top" wrapText="1"/>
    </xf>
    <xf numFmtId="164" fontId="3" fillId="0" borderId="1" applyAlignment="1" pivotButton="0" quotePrefix="0" xfId="0">
      <alignment horizontal="left" vertical="top" wrapText="1"/>
    </xf>
    <xf numFmtId="164" fontId="1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4" fillId="0" borderId="7" applyAlignment="1" pivotButton="0" quotePrefix="0" xfId="0">
      <alignment vertical="center"/>
    </xf>
    <xf numFmtId="164" fontId="1" fillId="0" borderId="3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1" fontId="1" fillId="3" borderId="1" applyAlignment="1" pivotButton="0" quotePrefix="0" xfId="0">
      <alignment vertical="center"/>
    </xf>
    <xf numFmtId="1" fontId="4" fillId="0" borderId="1" applyAlignment="1" pivotButton="0" quotePrefix="0" xfId="0">
      <alignment vertical="center"/>
    </xf>
    <xf numFmtId="1" fontId="15" fillId="0" borderId="1" applyAlignment="1" pivotButton="0" quotePrefix="0" xfId="0">
      <alignment horizontal="left" vertical="top" wrapText="1"/>
    </xf>
    <xf numFmtId="1" fontId="3" fillId="0" borderId="1" applyAlignment="1" pivotButton="0" quotePrefix="0" xfId="0">
      <alignment horizontal="left" vertical="top" wrapText="1"/>
    </xf>
    <xf numFmtId="1" fontId="1" fillId="0" borderId="1" applyAlignment="1" pivotButton="0" quotePrefix="0" xfId="0">
      <alignment vertical="center"/>
    </xf>
    <xf numFmtId="1" fontId="0" fillId="0" borderId="1" applyAlignment="1" pivotButton="0" quotePrefix="0" xfId="0">
      <alignment vertical="center"/>
    </xf>
    <xf numFmtId="1" fontId="4" fillId="0" borderId="1" applyAlignment="1" pivotButton="0" quotePrefix="0" xfId="0">
      <alignment horizontal="right" vertical="center"/>
    </xf>
    <xf numFmtId="1" fontId="4" fillId="0" borderId="7" applyAlignment="1" pivotButton="0" quotePrefix="0" xfId="0">
      <alignment vertical="center"/>
    </xf>
    <xf numFmtId="1" fontId="1" fillId="0" borderId="3" applyAlignment="1" pivotButton="0" quotePrefix="0" xfId="0">
      <alignment vertical="center"/>
    </xf>
    <xf numFmtId="0" fontId="21" fillId="0" borderId="0" pivotButton="0" quotePrefix="0" xfId="0"/>
    <xf numFmtId="2" fontId="21" fillId="0" borderId="0" pivotButton="0" quotePrefix="0" xfId="0"/>
    <xf numFmtId="2" fontId="0" fillId="0" borderId="0" pivotButton="0" quotePrefix="0" xfId="0"/>
    <xf numFmtId="164" fontId="21" fillId="0" borderId="0" pivotButton="0" quotePrefix="0" xfId="0"/>
    <xf numFmtId="164" fontId="0" fillId="0" borderId="0" pivotButton="0" quotePrefix="0" xfId="0"/>
    <xf numFmtId="165" fontId="21" fillId="0" borderId="0" pivotButton="0" quotePrefix="0" xfId="0"/>
    <xf numFmtId="165" fontId="0" fillId="0" borderId="0" pivotButton="0" quotePrefix="0" xfId="0"/>
    <xf numFmtId="0" fontId="22" fillId="0" borderId="1" applyAlignment="1" pivotButton="0" quotePrefix="0" xfId="0">
      <alignment vertical="center"/>
    </xf>
    <xf numFmtId="1" fontId="22" fillId="0" borderId="1" applyAlignment="1" pivotButton="0" quotePrefix="0" xfId="0">
      <alignment vertical="center"/>
    </xf>
    <xf numFmtId="4" fontId="22" fillId="0" borderId="1" applyAlignment="1" pivotButton="0" quotePrefix="0" xfId="0">
      <alignment vertical="center"/>
    </xf>
    <xf numFmtId="164" fontId="22" fillId="0" borderId="1" applyAlignment="1" pivotButton="0" quotePrefix="0" xfId="0">
      <alignment vertical="center"/>
    </xf>
    <xf numFmtId="0" fontId="19" fillId="0" borderId="1" applyAlignment="1" pivotButton="0" quotePrefix="0" xfId="0">
      <alignment vertical="center"/>
    </xf>
    <xf numFmtId="1" fontId="19" fillId="0" borderId="1" applyAlignment="1" pivotButton="0" quotePrefix="0" xfId="0">
      <alignment vertical="center"/>
    </xf>
    <xf numFmtId="4" fontId="19" fillId="0" borderId="1" applyAlignment="1" pivotButton="0" quotePrefix="0" xfId="0">
      <alignment vertical="center"/>
    </xf>
    <xf numFmtId="164" fontId="19" fillId="0" borderId="1" applyAlignment="1" pivotButton="0" quotePrefix="0" xfId="0">
      <alignment vertical="center"/>
    </xf>
    <xf numFmtId="0" fontId="20" fillId="0" borderId="0" pivotButton="0" quotePrefix="0" xfId="0"/>
    <xf numFmtId="0" fontId="2" fillId="0" borderId="0" pivotButton="0" quotePrefix="0" xfId="0"/>
    <xf numFmtId="2" fontId="2" fillId="0" borderId="0" pivotButton="0" quotePrefix="0" xfId="0"/>
    <xf numFmtId="165" fontId="2" fillId="0" borderId="0" pivotButton="0" quotePrefix="0" xfId="0"/>
    <xf numFmtId="164" fontId="2" fillId="0" borderId="0" pivotButton="0" quotePrefix="0" xfId="0"/>
    <xf numFmtId="0" fontId="18" fillId="0" borderId="0" pivotButton="0" quotePrefix="0" xfId="0"/>
    <xf numFmtId="2" fontId="18" fillId="0" borderId="0" pivotButton="0" quotePrefix="0" xfId="0"/>
    <xf numFmtId="165" fontId="18" fillId="0" borderId="0" pivotButton="0" quotePrefix="0" xfId="0"/>
    <xf numFmtId="164" fontId="18" fillId="0" borderId="0" pivotButton="0" quotePrefix="0" xfId="0"/>
    <xf numFmtId="0" fontId="23" fillId="0" borderId="0" pivotButton="0" quotePrefix="0" xfId="0"/>
    <xf numFmtId="0" fontId="18" fillId="2" borderId="1" applyAlignment="1" pivotButton="0" quotePrefix="0" xfId="0">
      <alignment vertical="center" wrapText="1"/>
    </xf>
    <xf numFmtId="0" fontId="10" fillId="0" borderId="1" applyAlignment="1" pivotButton="0" quotePrefix="0" xfId="0">
      <alignment vertical="center"/>
    </xf>
    <xf numFmtId="1" fontId="10" fillId="0" borderId="1" applyAlignment="1" pivotButton="0" quotePrefix="0" xfId="0">
      <alignment vertical="center"/>
    </xf>
    <xf numFmtId="3" fontId="10" fillId="0" borderId="1" applyAlignment="1" pivotButton="0" quotePrefix="0" xfId="0">
      <alignment vertical="center"/>
    </xf>
    <xf numFmtId="164" fontId="10" fillId="0" borderId="1" applyAlignment="1" pivotButton="0" quotePrefix="0" xfId="0">
      <alignment vertical="center"/>
    </xf>
    <xf numFmtId="0" fontId="10" fillId="4" borderId="4" applyAlignment="1" pivotButton="0" quotePrefix="0" xfId="0">
      <alignment horizontal="right" vertical="center"/>
    </xf>
    <xf numFmtId="4" fontId="10" fillId="4" borderId="5" applyAlignment="1" pivotButton="0" quotePrefix="0" xfId="0">
      <alignment vertical="center"/>
    </xf>
    <xf numFmtId="0" fontId="10" fillId="0" borderId="2" applyAlignment="1" pivotButton="0" quotePrefix="0" xfId="0">
      <alignment vertical="center"/>
    </xf>
    <xf numFmtId="0" fontId="20" fillId="0" borderId="0" pivotButton="0" quotePrefix="0" xfId="0"/>
    <xf numFmtId="0" fontId="0" fillId="0" borderId="0" pivotButton="0" quotePrefix="0" xfId="0"/>
    <xf numFmtId="0" fontId="3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vertical="center"/>
    </xf>
    <xf numFmtId="0" fontId="24" fillId="3" borderId="1" applyAlignment="1" pivotButton="0" quotePrefix="0" xfId="0">
      <alignment vertical="center"/>
    </xf>
    <xf numFmtId="164" fontId="25" fillId="3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25" fillId="0" borderId="1" applyAlignment="1" pivotButton="0" quotePrefix="0" xfId="0">
      <alignment vertical="center"/>
    </xf>
    <xf numFmtId="0" fontId="23" fillId="3" borderId="0" pivotButton="0" quotePrefix="0" xfId="0"/>
    <xf numFmtId="164" fontId="18" fillId="3" borderId="0" pivotButton="0" quotePrefix="0" xfId="0"/>
    <xf numFmtId="0" fontId="26" fillId="0" borderId="0" pivotButton="0" quotePrefix="0" xfId="0"/>
    <xf numFmtId="0" fontId="13" fillId="0" borderId="0" pivotButton="0" quotePrefix="0" xfId="0"/>
    <xf numFmtId="2" fontId="13" fillId="0" borderId="0" pivotButton="0" quotePrefix="0" xfId="0"/>
    <xf numFmtId="165" fontId="13" fillId="0" borderId="0" pivotButton="0" quotePrefix="0" xfId="0"/>
    <xf numFmtId="164" fontId="13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65" fontId="12" fillId="0" borderId="0" pivotButton="0" quotePrefix="0" xfId="0"/>
    <xf numFmtId="164" fontId="12" fillId="0" borderId="0" pivotButton="0" quotePrefix="0" xfId="0"/>
    <xf numFmtId="0" fontId="28" fillId="0" borderId="1" pivotButton="0" quotePrefix="0" xfId="0"/>
    <xf numFmtId="0" fontId="0" fillId="0" borderId="14" pivotButton="0" quotePrefix="0" xfId="0"/>
    <xf numFmtId="0" fontId="0" fillId="0" borderId="2" pivotButton="0" quotePrefix="0" xfId="0"/>
    <xf numFmtId="0" fontId="27" fillId="0" borderId="0" pivotButton="0" quotePrefix="0" xfId="0"/>
    <xf numFmtId="0" fontId="27" fillId="0" borderId="1" pivotButton="0" quotePrefix="0" xfId="0"/>
    <xf numFmtId="166" fontId="28" fillId="0" borderId="1" pivotButton="0" quotePrefix="0" xfId="0"/>
    <xf numFmtId="1" fontId="27" fillId="0" borderId="1" pivotButton="0" quotePrefix="0" xfId="0"/>
    <xf numFmtId="3" fontId="27" fillId="0" borderId="1" pivotButton="0" quotePrefix="0" xfId="0"/>
    <xf numFmtId="166" fontId="27" fillId="0" borderId="1" pivotButton="0" quotePrefix="0" xfId="0"/>
    <xf numFmtId="0" fontId="27" fillId="0" borderId="9" pivotButton="0" quotePrefix="0" xfId="0"/>
    <xf numFmtId="0" fontId="27" fillId="0" borderId="4" pivotButton="0" quotePrefix="0" xfId="0"/>
    <xf numFmtId="0" fontId="27" fillId="0" borderId="5" pivotButton="0" quotePrefix="0" xfId="0"/>
    <xf numFmtId="0" fontId="27" fillId="0" borderId="2" pivotButton="0" quotePrefix="0" xfId="0"/>
    <xf numFmtId="0" fontId="27" fillId="0" borderId="6" pivotButton="0" quotePrefix="0" xfId="0"/>
    <xf numFmtId="0" fontId="27" fillId="0" borderId="10" pivotButton="0" quotePrefix="0" xfId="0"/>
    <xf numFmtId="0" fontId="27" fillId="0" borderId="7" pivotButton="0" quotePrefix="0" xfId="0"/>
    <xf numFmtId="0" fontId="27" fillId="0" borderId="8" pivotButton="0" quotePrefix="0" xfId="0"/>
    <xf numFmtId="0" fontId="27" fillId="0" borderId="11" pivotButton="0" quotePrefix="0" xfId="0"/>
    <xf numFmtId="0" fontId="27" fillId="0" borderId="3" pivotButton="0" quotePrefix="0" xfId="0"/>
    <xf numFmtId="1" fontId="27" fillId="0" borderId="0" pivotButton="0" quotePrefix="0" xfId="0"/>
    <xf numFmtId="4" fontId="27" fillId="0" borderId="0" pivotButton="0" quotePrefix="0" xfId="0"/>
    <xf numFmtId="166" fontId="27" fillId="0" borderId="0" pivotButton="0" quotePrefix="0" xfId="0"/>
    <xf numFmtId="4" fontId="27" fillId="0" borderId="1" pivotButton="0" quotePrefix="0" xfId="0"/>
    <xf numFmtId="0" fontId="28" fillId="5" borderId="0" pivotButton="0" quotePrefix="0" xfId="0"/>
    <xf numFmtId="0" fontId="27" fillId="5" borderId="0" pivotButton="0" quotePrefix="0" xfId="0"/>
    <xf numFmtId="0" fontId="27" fillId="5" borderId="7" pivotButton="0" quotePrefix="0" xfId="0"/>
    <xf numFmtId="166" fontId="28" fillId="5" borderId="7" pivotButton="0" quotePrefix="0" xfId="0"/>
    <xf numFmtId="0" fontId="28" fillId="0" borderId="0" pivotButton="0" quotePrefix="0" xfId="0"/>
    <xf numFmtId="166" fontId="28" fillId="0" borderId="0" pivotButton="0" quotePrefix="0" xfId="0"/>
    <xf numFmtId="3" fontId="27" fillId="0" borderId="0" pivotButton="0" quotePrefix="0" xfId="0"/>
    <xf numFmtId="166" fontId="28" fillId="5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1">
    <outlinePr summaryBelow="1" summaryRight="1"/>
    <pageSetUpPr/>
  </sheetPr>
  <dimension ref="A1:T45"/>
  <sheetViews>
    <sheetView tabSelected="1" zoomScale="115" zoomScaleNormal="115" workbookViewId="0">
      <pane xSplit="1" ySplit="3" topLeftCell="B7" activePane="bottomRight" state="frozen"/>
      <selection pane="topRight" activeCell="B1" sqref="B1"/>
      <selection pane="bottomLeft" activeCell="A4" sqref="A4"/>
      <selection pane="bottomRight" activeCell="H12" sqref="H12"/>
    </sheetView>
  </sheetViews>
  <sheetFormatPr baseColWidth="10" defaultColWidth="8.7265625" defaultRowHeight="14.5"/>
  <cols>
    <col width="22.453125" bestFit="1" customWidth="1" style="101" min="1" max="1"/>
    <col width="13.81640625" bestFit="1" customWidth="1" style="101" min="2" max="2"/>
    <col width="11" customWidth="1" style="101" min="3" max="3"/>
    <col width="12.54296875" bestFit="1" customWidth="1" style="101" min="4" max="4"/>
    <col width="9.453125" customWidth="1" style="60" min="5" max="5"/>
    <col width="7.453125" bestFit="1" customWidth="1" style="7" min="6" max="6"/>
    <col width="8.453125" customWidth="1" style="107" min="7" max="7"/>
    <col width="10.26953125" customWidth="1" style="107" min="8" max="8"/>
    <col width="9.81640625" customWidth="1" style="107" min="9" max="9"/>
    <col width="9.7265625" customWidth="1" style="107" min="10" max="10"/>
    <col width="9.81640625" customWidth="1" style="101" min="11" max="11"/>
    <col width="28.1796875" bestFit="1" customWidth="1" style="101" min="12" max="12"/>
    <col width="8.7265625" customWidth="1" style="101" min="13" max="14"/>
    <col width="2.1796875" bestFit="1" customWidth="1" style="101" min="15" max="15"/>
    <col width="8.7265625" customWidth="1" style="101" min="16" max="16"/>
    <col width="8.7265625" customWidth="1" style="101" min="17" max="16384"/>
  </cols>
  <sheetData>
    <row r="1" ht="13" customFormat="1" customHeight="1" s="23">
      <c r="A1" s="120" t="inlineStr">
        <is>
          <t>PRESUPUESTO DE TRADUCCIÓN PARA XXXXX - TRADUCTORA: ROCÍO VALERO LUCAS</t>
        </is>
      </c>
      <c r="B1" s="121" t="n"/>
      <c r="C1" s="121" t="n"/>
      <c r="D1" s="121" t="n"/>
      <c r="E1" s="121" t="n"/>
      <c r="F1" s="121" t="n"/>
      <c r="G1" s="121" t="n"/>
      <c r="H1" s="121" t="n"/>
      <c r="I1" s="121" t="n"/>
      <c r="J1" s="121" t="n"/>
      <c r="K1" s="121" t="n"/>
      <c r="L1" s="121" t="n"/>
      <c r="M1" s="121" t="n"/>
      <c r="N1" s="121" t="n"/>
      <c r="O1" s="121" t="n"/>
      <c r="P1" s="122" t="n"/>
      <c r="Q1" s="123" t="n"/>
      <c r="R1" s="123" t="n"/>
      <c r="S1" s="123" t="n"/>
      <c r="T1" s="123" t="n"/>
    </row>
    <row r="2" ht="15.65" customFormat="1" customHeight="1" s="5">
      <c r="A2" s="124" t="n"/>
      <c r="B2" s="124" t="n"/>
      <c r="C2" s="123" t="n"/>
      <c r="D2" s="123" t="n"/>
      <c r="E2" s="124" t="n"/>
      <c r="F2" s="124" t="n"/>
      <c r="G2" s="124" t="n"/>
      <c r="H2" s="124" t="n"/>
      <c r="I2" s="124" t="n"/>
      <c r="J2" s="124" t="n"/>
      <c r="K2" s="123" t="n"/>
      <c r="L2" s="123" t="n"/>
      <c r="M2" s="123" t="n"/>
      <c r="N2" s="123" t="n"/>
      <c r="O2" s="123" t="n"/>
      <c r="P2" s="123" t="n"/>
      <c r="Q2" s="123" t="n"/>
      <c r="R2" s="123" t="n"/>
      <c r="S2" s="123" t="n"/>
      <c r="T2" s="123" t="n"/>
    </row>
    <row r="3" ht="32.25" customFormat="1" customHeight="1" s="19">
      <c r="A3" s="120" t="inlineStr">
        <is>
          <t>Descripción del documento</t>
        </is>
      </c>
      <c r="B3" s="120" t="inlineStr">
        <is>
          <t>Nombre del PDF original</t>
        </is>
      </c>
      <c r="C3" s="120" t="inlineStr">
        <is>
          <t>Tipo de traducción</t>
        </is>
      </c>
      <c r="D3" s="120" t="inlineStr">
        <is>
          <t>Tipo de tarifa</t>
        </is>
      </c>
      <c r="E3" s="120" t="inlineStr">
        <is>
          <t>Cantidad</t>
        </is>
      </c>
      <c r="F3" s="120" t="inlineStr">
        <is>
          <t>Unidad</t>
        </is>
      </c>
      <c r="G3" s="125" t="inlineStr">
        <is>
          <t>Tarifa</t>
        </is>
      </c>
      <c r="H3" s="125" t="inlineStr">
        <is>
          <t>Base imponible</t>
        </is>
      </c>
      <c r="I3" s="125" t="inlineStr">
        <is>
          <t>IVA (21%)</t>
        </is>
      </c>
      <c r="J3" s="125" t="inlineStr">
        <is>
          <t>Importe total</t>
        </is>
      </c>
      <c r="K3" s="124" t="n"/>
      <c r="L3" s="123" t="n"/>
      <c r="M3" s="123" t="n"/>
      <c r="N3" s="123" t="n"/>
      <c r="O3" s="123" t="n"/>
      <c r="P3" s="123" t="n"/>
      <c r="Q3" s="123" t="n"/>
      <c r="R3" s="123" t="n"/>
      <c r="S3" s="123" t="n"/>
      <c r="T3" s="123" t="n"/>
    </row>
    <row r="4" customFormat="1" s="3">
      <c r="A4" s="120" t="inlineStr">
        <is>
          <t>Documentos estándar</t>
        </is>
      </c>
      <c r="B4" s="124" t="n"/>
      <c r="C4" s="124" t="n"/>
      <c r="D4" s="124" t="n"/>
      <c r="E4" s="124" t="n"/>
      <c r="F4" s="124" t="n"/>
      <c r="G4" s="124" t="n"/>
      <c r="H4" s="124" t="n"/>
      <c r="I4" s="124" t="n"/>
      <c r="J4" s="124" t="n"/>
      <c r="K4" s="124" t="n"/>
      <c r="L4" s="123" t="n"/>
      <c r="M4" s="123" t="n"/>
      <c r="N4" s="123" t="n"/>
      <c r="O4" s="123" t="n"/>
      <c r="P4" s="123" t="n"/>
      <c r="Q4" s="123" t="n"/>
      <c r="R4" s="123" t="n"/>
      <c r="S4" s="123" t="n"/>
      <c r="T4" s="123" t="n"/>
    </row>
    <row r="5">
      <c r="A5" s="124" t="inlineStr">
        <is>
          <t>Certificado de nacimiento</t>
        </is>
      </c>
      <c r="B5" s="124" t="n"/>
      <c r="C5" s="124" t="inlineStr">
        <is>
          <t>Jurada</t>
        </is>
      </c>
      <c r="D5" s="124" t="inlineStr">
        <is>
          <t>Por página</t>
        </is>
      </c>
      <c r="E5" s="126" t="n">
        <v>3</v>
      </c>
      <c r="F5" s="127" t="inlineStr">
        <is>
          <t>páginas</t>
        </is>
      </c>
      <c r="G5" s="128" t="n">
        <v>20</v>
      </c>
      <c r="H5" s="128">
        <f>E5*G5</f>
        <v/>
      </c>
      <c r="I5" s="128">
        <f>H5*0.21</f>
        <v/>
      </c>
      <c r="J5" s="128">
        <f>H5+I5</f>
        <v/>
      </c>
      <c r="K5" s="123" t="n"/>
      <c r="L5" s="123" t="n"/>
      <c r="M5" s="123" t="n"/>
      <c r="N5" s="123" t="n"/>
      <c r="O5" s="123" t="n"/>
      <c r="P5" s="123" t="n"/>
      <c r="Q5" s="123" t="n"/>
      <c r="R5" s="123" t="n"/>
      <c r="S5" s="123" t="n"/>
      <c r="T5" s="123" t="n"/>
    </row>
    <row r="6">
      <c r="A6" s="124" t="inlineStr">
        <is>
          <t>Certificado de matrimonio</t>
        </is>
      </c>
      <c r="B6" s="124" t="n"/>
      <c r="C6" s="124" t="inlineStr">
        <is>
          <t>Jurada</t>
        </is>
      </c>
      <c r="D6" s="124" t="inlineStr">
        <is>
          <t>Por página</t>
        </is>
      </c>
      <c r="E6" s="126" t="n">
        <v>1</v>
      </c>
      <c r="F6" s="127" t="inlineStr">
        <is>
          <t>página</t>
        </is>
      </c>
      <c r="G6" s="128" t="n">
        <v>20</v>
      </c>
      <c r="H6" s="128">
        <f>E6*G6</f>
        <v/>
      </c>
      <c r="I6" s="128">
        <f>H6*0.21</f>
        <v/>
      </c>
      <c r="J6" s="128">
        <f>H6+I6</f>
        <v/>
      </c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</row>
    <row r="7">
      <c r="A7" s="124" t="inlineStr">
        <is>
          <t>Título universitario</t>
        </is>
      </c>
      <c r="B7" s="124" t="n"/>
      <c r="C7" s="124" t="inlineStr">
        <is>
          <t>Jurada</t>
        </is>
      </c>
      <c r="D7" s="124" t="inlineStr">
        <is>
          <t>Por página</t>
        </is>
      </c>
      <c r="E7" s="126" t="n">
        <v>1</v>
      </c>
      <c r="F7" s="127" t="inlineStr">
        <is>
          <t>página</t>
        </is>
      </c>
      <c r="G7" s="128" t="n">
        <v>20</v>
      </c>
      <c r="H7" s="128">
        <f>E7*G7</f>
        <v/>
      </c>
      <c r="I7" s="128">
        <f>H7*0.21</f>
        <v/>
      </c>
      <c r="J7" s="128">
        <f>H7+I7</f>
        <v/>
      </c>
      <c r="K7" s="123" t="n"/>
      <c r="L7" s="123" t="n"/>
      <c r="M7" s="123" t="n"/>
      <c r="N7" s="123" t="n"/>
      <c r="O7" s="123" t="n"/>
      <c r="P7" s="123" t="n"/>
      <c r="Q7" s="123" t="n"/>
      <c r="R7" s="123" t="n"/>
      <c r="S7" s="123" t="n"/>
      <c r="T7" s="123" t="n"/>
    </row>
    <row r="8">
      <c r="A8" s="124" t="inlineStr">
        <is>
          <t>Certificate of incorporation</t>
        </is>
      </c>
      <c r="B8" s="124" t="n"/>
      <c r="C8" s="124" t="inlineStr">
        <is>
          <t>Jurada</t>
        </is>
      </c>
      <c r="D8" s="124" t="inlineStr">
        <is>
          <t>Por página</t>
        </is>
      </c>
      <c r="E8" s="126" t="n">
        <v>1</v>
      </c>
      <c r="F8" s="127" t="inlineStr">
        <is>
          <t>página</t>
        </is>
      </c>
      <c r="G8" s="128" t="n">
        <v>20</v>
      </c>
      <c r="H8" s="128">
        <f>E8*G8</f>
        <v/>
      </c>
      <c r="I8" s="128">
        <f>H8*0.21</f>
        <v/>
      </c>
      <c r="J8" s="128">
        <f>H8+I8</f>
        <v/>
      </c>
      <c r="K8" s="123" t="n"/>
      <c r="L8" s="123" t="n"/>
      <c r="M8" s="123" t="n"/>
      <c r="N8" s="123" t="n"/>
      <c r="O8" s="123" t="n"/>
      <c r="P8" s="123" t="n"/>
      <c r="Q8" s="123" t="n"/>
      <c r="R8" s="123" t="n"/>
      <c r="S8" s="123" t="n"/>
      <c r="T8" s="123" t="n"/>
    </row>
    <row r="9" ht="23.15" customHeight="1" s="98">
      <c r="A9" s="124" t="inlineStr">
        <is>
          <t>Certificate of incorporation on change of name</t>
        </is>
      </c>
      <c r="B9" s="124" t="n"/>
      <c r="C9" s="124" t="inlineStr">
        <is>
          <t>Jurada</t>
        </is>
      </c>
      <c r="D9" s="124" t="inlineStr">
        <is>
          <t>Por página</t>
        </is>
      </c>
      <c r="E9" s="126" t="n">
        <v>1</v>
      </c>
      <c r="F9" s="127" t="inlineStr">
        <is>
          <t>página</t>
        </is>
      </c>
      <c r="G9" s="128" t="n">
        <v>30</v>
      </c>
      <c r="H9" s="128">
        <f>E9*G9</f>
        <v/>
      </c>
      <c r="I9" s="128">
        <f>H9*0.21</f>
        <v/>
      </c>
      <c r="J9" s="128">
        <f>H9+I9</f>
        <v/>
      </c>
      <c r="K9" s="123" t="n"/>
      <c r="L9" s="123" t="n"/>
      <c r="M9" s="123" t="n"/>
      <c r="N9" s="123" t="n"/>
      <c r="O9" s="123" t="n"/>
      <c r="P9" s="123" t="n"/>
      <c r="Q9" s="123" t="n"/>
      <c r="R9" s="123" t="n"/>
      <c r="S9" s="123" t="n"/>
      <c r="T9" s="123" t="n"/>
    </row>
    <row r="10">
      <c r="A10" s="124" t="inlineStr">
        <is>
          <t>Police certificates (UK)</t>
        </is>
      </c>
      <c r="B10" s="124" t="n"/>
      <c r="C10" s="124" t="inlineStr">
        <is>
          <t>Jurada</t>
        </is>
      </c>
      <c r="D10" s="124" t="inlineStr">
        <is>
          <t>Por página</t>
        </is>
      </c>
      <c r="E10" s="126" t="n">
        <v>1</v>
      </c>
      <c r="F10" s="127" t="inlineStr">
        <is>
          <t>página</t>
        </is>
      </c>
      <c r="G10" s="128" t="n">
        <v>20</v>
      </c>
      <c r="H10" s="128">
        <f>E10*G10</f>
        <v/>
      </c>
      <c r="I10" s="128">
        <f>H10*0.21</f>
        <v/>
      </c>
      <c r="J10" s="128">
        <f>H10+I10</f>
        <v/>
      </c>
      <c r="K10" s="123" t="n"/>
      <c r="L10" s="123" t="n"/>
      <c r="M10" s="123" t="n"/>
      <c r="N10" s="123" t="n"/>
      <c r="O10" s="123" t="n"/>
      <c r="P10" s="123" t="n"/>
      <c r="Q10" s="123" t="n"/>
      <c r="R10" s="123" t="n"/>
      <c r="S10" s="123" t="n"/>
      <c r="T10" s="123" t="n"/>
    </row>
    <row r="11" ht="11.5" customFormat="1" customHeight="1" s="25">
      <c r="A11" s="124" t="inlineStr">
        <is>
          <t>Certificación notarial</t>
        </is>
      </c>
      <c r="B11" s="123" t="n"/>
      <c r="C11" s="124" t="inlineStr">
        <is>
          <t>Jurada</t>
        </is>
      </c>
      <c r="D11" s="124" t="inlineStr">
        <is>
          <t>Por página</t>
        </is>
      </c>
      <c r="E11" s="126" t="n">
        <v>1</v>
      </c>
      <c r="F11" s="127" t="inlineStr">
        <is>
          <t>página</t>
        </is>
      </c>
      <c r="G11" s="128" t="n">
        <v>20</v>
      </c>
      <c r="H11" s="128">
        <f>E11*G11</f>
        <v/>
      </c>
      <c r="I11" s="128">
        <f>H11*0.21</f>
        <v/>
      </c>
      <c r="J11" s="128">
        <f>H11+I11</f>
        <v/>
      </c>
      <c r="K11" s="123" t="n"/>
      <c r="L11" s="123" t="n"/>
      <c r="M11" s="123" t="n"/>
      <c r="N11" s="123" t="n"/>
      <c r="O11" s="123" t="n"/>
      <c r="P11" s="123" t="n"/>
      <c r="Q11" s="123" t="n"/>
      <c r="R11" s="123" t="n"/>
      <c r="S11" s="123" t="n"/>
      <c r="T11" s="123" t="n"/>
    </row>
    <row r="12" ht="15" customHeight="1" s="98" thickBot="1">
      <c r="A12" s="123" t="n"/>
      <c r="B12" s="123" t="n"/>
      <c r="C12" s="123" t="n"/>
      <c r="D12" s="123" t="n"/>
      <c r="E12" s="123" t="n"/>
      <c r="F12" s="123" t="n"/>
      <c r="G12" s="123" t="n"/>
      <c r="H12" s="123" t="n"/>
      <c r="I12" s="123" t="n"/>
      <c r="J12" s="123" t="n"/>
      <c r="K12" s="123" t="n"/>
      <c r="L12" s="123" t="n"/>
      <c r="M12" s="123" t="n"/>
      <c r="N12" s="123" t="n"/>
      <c r="O12" s="123" t="n"/>
      <c r="P12" s="123" t="n"/>
      <c r="Q12" s="123" t="n"/>
      <c r="R12" s="123" t="n"/>
      <c r="S12" s="123" t="n"/>
      <c r="T12" s="123" t="n"/>
    </row>
    <row r="13" ht="12" customFormat="1" customHeight="1" s="90">
      <c r="A13" s="120" t="inlineStr">
        <is>
          <t>Apostilla(s)</t>
        </is>
      </c>
      <c r="B13" s="124" t="n"/>
      <c r="C13" s="124" t="n"/>
      <c r="D13" s="124" t="n"/>
      <c r="E13" s="124" t="n"/>
      <c r="F13" s="124" t="n"/>
      <c r="G13" s="124" t="n"/>
      <c r="H13" s="124" t="n"/>
      <c r="I13" s="124" t="n"/>
      <c r="J13" s="124" t="n"/>
      <c r="K13" s="123" t="n"/>
      <c r="L13" s="129" t="n"/>
      <c r="M13" s="130" t="n"/>
      <c r="N13" s="130" t="n"/>
      <c r="O13" s="131" t="n"/>
      <c r="P13" s="132" t="n"/>
      <c r="Q13" s="123" t="n"/>
      <c r="R13" s="123" t="n"/>
      <c r="S13" s="123" t="n"/>
      <c r="T13" s="123" t="n"/>
    </row>
    <row r="14">
      <c r="A14" s="124" t="inlineStr">
        <is>
          <t>Certificate of change of name</t>
        </is>
      </c>
      <c r="B14" s="124" t="n"/>
      <c r="C14" s="124" t="inlineStr">
        <is>
          <t>Apostilla</t>
        </is>
      </c>
      <c r="D14" s="124" t="inlineStr">
        <is>
          <t>por documento</t>
        </is>
      </c>
      <c r="E14" s="126" t="n">
        <v>1</v>
      </c>
      <c r="F14" s="127" t="inlineStr">
        <is>
          <t>apostilla</t>
        </is>
      </c>
      <c r="G14" s="128" t="n">
        <v>5</v>
      </c>
      <c r="H14" s="128">
        <f>E14*G14</f>
        <v/>
      </c>
      <c r="I14" s="128">
        <f>H14*0.21</f>
        <v/>
      </c>
      <c r="J14" s="128">
        <f>H14+I14</f>
        <v/>
      </c>
      <c r="K14" s="123" t="n"/>
      <c r="L14" s="132" t="n"/>
      <c r="M14" s="124" t="n"/>
      <c r="N14" s="124" t="n"/>
      <c r="O14" s="133" t="n"/>
      <c r="P14" s="132" t="n"/>
      <c r="Q14" s="123" t="n"/>
      <c r="R14" s="123" t="n"/>
      <c r="S14" s="123" t="n"/>
      <c r="T14" s="123" t="n"/>
    </row>
    <row r="15">
      <c r="A15" s="124" t="inlineStr">
        <is>
          <t>Police certificate</t>
        </is>
      </c>
      <c r="B15" s="124" t="n"/>
      <c r="C15" s="124" t="inlineStr">
        <is>
          <t>Apostilla</t>
        </is>
      </c>
      <c r="D15" s="124" t="inlineStr">
        <is>
          <t>por documento</t>
        </is>
      </c>
      <c r="E15" s="126" t="n">
        <v>2</v>
      </c>
      <c r="F15" s="127" t="inlineStr">
        <is>
          <t>apostillas</t>
        </is>
      </c>
      <c r="G15" s="128" t="n">
        <v>5</v>
      </c>
      <c r="H15" s="128">
        <f>E15*G15</f>
        <v/>
      </c>
      <c r="I15" s="128">
        <f>H15*0.21</f>
        <v/>
      </c>
      <c r="J15" s="128">
        <f>H15+I15</f>
        <v/>
      </c>
      <c r="K15" s="123" t="n"/>
      <c r="L15" s="132" t="n"/>
      <c r="M15" s="124" t="n"/>
      <c r="N15" s="124" t="n"/>
      <c r="O15" s="133" t="n"/>
      <c r="P15" s="132" t="n"/>
      <c r="Q15" s="123" t="n"/>
      <c r="R15" s="123" t="n"/>
      <c r="S15" s="123" t="n"/>
      <c r="T15" s="123" t="n"/>
    </row>
    <row r="16">
      <c r="A16" s="124" t="inlineStr">
        <is>
          <t>Certificate of incorporation</t>
        </is>
      </c>
      <c r="B16" s="124" t="n"/>
      <c r="C16" s="124" t="inlineStr">
        <is>
          <t>Apostilla</t>
        </is>
      </c>
      <c r="D16" s="124" t="inlineStr">
        <is>
          <t>por documento</t>
        </is>
      </c>
      <c r="E16" s="126" t="n">
        <v>1</v>
      </c>
      <c r="F16" s="127" t="inlineStr">
        <is>
          <t>apostilla</t>
        </is>
      </c>
      <c r="G16" s="128" t="n">
        <v>5</v>
      </c>
      <c r="H16" s="128">
        <f>E16*G16</f>
        <v/>
      </c>
      <c r="I16" s="128">
        <f>H16*0.21</f>
        <v/>
      </c>
      <c r="J16" s="128">
        <f>H16+I16</f>
        <v/>
      </c>
      <c r="K16" s="123" t="n"/>
      <c r="L16" s="132" t="n"/>
      <c r="M16" s="124" t="n"/>
      <c r="N16" s="124" t="n"/>
      <c r="O16" s="133" t="n"/>
      <c r="P16" s="132" t="n"/>
      <c r="Q16" s="123" t="n"/>
      <c r="R16" s="123" t="n"/>
      <c r="S16" s="123" t="n"/>
      <c r="T16" s="123" t="n"/>
    </row>
    <row r="17">
      <c r="A17" s="124" t="inlineStr">
        <is>
          <t>Título universitario</t>
        </is>
      </c>
      <c r="B17" s="124" t="n"/>
      <c r="C17" s="124" t="inlineStr">
        <is>
          <t>Apostilla</t>
        </is>
      </c>
      <c r="D17" s="124" t="inlineStr">
        <is>
          <t>por documento</t>
        </is>
      </c>
      <c r="E17" s="126" t="n">
        <v>1</v>
      </c>
      <c r="F17" s="127" t="inlineStr">
        <is>
          <t>apostilla</t>
        </is>
      </c>
      <c r="G17" s="128" t="n">
        <v>5</v>
      </c>
      <c r="H17" s="128">
        <f>E17*G17</f>
        <v/>
      </c>
      <c r="I17" s="128">
        <f>H17*0.21</f>
        <v/>
      </c>
      <c r="J17" s="128">
        <f>H17+I17</f>
        <v/>
      </c>
      <c r="K17" s="123" t="n"/>
      <c r="L17" s="132" t="n"/>
      <c r="M17" s="124" t="n"/>
      <c r="N17" s="124" t="n"/>
      <c r="O17" s="133" t="n"/>
      <c r="P17" s="132" t="n"/>
      <c r="Q17" s="123" t="n"/>
      <c r="R17" s="123" t="n"/>
      <c r="S17" s="123" t="n"/>
      <c r="T17" s="123" t="n"/>
    </row>
    <row r="18">
      <c r="A18" s="124" t="inlineStr">
        <is>
          <t>Certificados de nacimiento y matrimonio</t>
        </is>
      </c>
      <c r="B18" s="124" t="n"/>
      <c r="C18" s="124" t="inlineStr">
        <is>
          <t>Apostilla</t>
        </is>
      </c>
      <c r="D18" s="124" t="inlineStr">
        <is>
          <t>por documento</t>
        </is>
      </c>
      <c r="E18" s="126" t="n">
        <v>4</v>
      </c>
      <c r="F18" s="127" t="inlineStr">
        <is>
          <t>apostillas</t>
        </is>
      </c>
      <c r="G18" s="128" t="n">
        <v>5</v>
      </c>
      <c r="H18" s="128">
        <f>E18*G18</f>
        <v/>
      </c>
      <c r="I18" s="128">
        <f>H18*0.21</f>
        <v/>
      </c>
      <c r="J18" s="128">
        <f>H18+I18</f>
        <v/>
      </c>
      <c r="K18" s="123" t="n"/>
      <c r="L18" s="132" t="n"/>
      <c r="M18" s="124" t="n"/>
      <c r="N18" s="124" t="n"/>
      <c r="O18" s="133" t="n"/>
      <c r="P18" s="132" t="n"/>
      <c r="Q18" s="123" t="n"/>
      <c r="R18" s="123" t="n"/>
      <c r="S18" s="123" t="n"/>
      <c r="T18" s="123" t="n"/>
    </row>
    <row r="19" ht="15" customHeight="1" s="98" thickBot="1">
      <c r="A19" s="124" t="n"/>
      <c r="B19" s="124" t="n"/>
      <c r="C19" s="124" t="n"/>
      <c r="D19" s="124" t="n"/>
      <c r="E19" s="124" t="n"/>
      <c r="F19" s="124" t="n"/>
      <c r="G19" s="124" t="n"/>
      <c r="H19" s="124" t="n"/>
      <c r="I19" s="124" t="n"/>
      <c r="J19" s="124" t="n"/>
      <c r="K19" s="123" t="n"/>
      <c r="L19" s="134" t="n"/>
      <c r="M19" s="135" t="n"/>
      <c r="N19" s="135" t="n"/>
      <c r="O19" s="136" t="n"/>
      <c r="P19" s="132" t="n"/>
      <c r="Q19" s="123" t="n"/>
      <c r="R19" s="123" t="n"/>
      <c r="S19" s="123" t="n"/>
      <c r="T19" s="123" t="n"/>
    </row>
    <row r="20">
      <c r="A20" s="120" t="inlineStr">
        <is>
          <t>Otros documentos</t>
        </is>
      </c>
      <c r="B20" s="124" t="n"/>
      <c r="C20" s="123" t="n"/>
      <c r="D20" s="123" t="n"/>
      <c r="E20" s="123" t="n"/>
      <c r="F20" s="123" t="n"/>
      <c r="G20" s="123" t="n"/>
      <c r="H20" s="123" t="n"/>
      <c r="I20" s="123" t="n"/>
      <c r="J20" s="123" t="n"/>
      <c r="K20" s="123" t="n"/>
      <c r="L20" s="137" t="n"/>
      <c r="M20" s="138" t="n"/>
      <c r="N20" s="138" t="n"/>
      <c r="O20" s="138" t="n"/>
      <c r="P20" s="123" t="n"/>
      <c r="Q20" s="123" t="n"/>
      <c r="R20" s="123" t="n"/>
      <c r="S20" s="123" t="n"/>
      <c r="T20" s="123" t="n"/>
    </row>
    <row r="21">
      <c r="A21" s="124" t="inlineStr">
        <is>
          <t>Contrato de trabajo</t>
        </is>
      </c>
      <c r="B21" s="124" t="n"/>
      <c r="C21" s="123" t="inlineStr">
        <is>
          <t>Simple</t>
        </is>
      </c>
      <c r="D21" s="123" t="inlineStr">
        <is>
          <t>por palabra</t>
        </is>
      </c>
      <c r="E21" s="139" t="n">
        <v>1</v>
      </c>
      <c r="F21" s="140" t="inlineStr">
        <is>
          <t>palabras</t>
        </is>
      </c>
      <c r="G21" s="141" t="n">
        <v>0.09</v>
      </c>
      <c r="H21" s="141">
        <f>E21*G21</f>
        <v/>
      </c>
      <c r="I21" s="141">
        <f>H21*0.21</f>
        <v/>
      </c>
      <c r="J21" s="141">
        <f>H21+I21</f>
        <v/>
      </c>
      <c r="K21" s="123" t="n"/>
      <c r="L21" s="123" t="n"/>
      <c r="M21" s="123" t="n"/>
      <c r="N21" s="123" t="n"/>
      <c r="O21" s="123" t="n"/>
      <c r="P21" s="123" t="n"/>
      <c r="Q21" s="123" t="n"/>
      <c r="R21" s="123" t="n"/>
      <c r="S21" s="123" t="n"/>
      <c r="T21" s="123" t="n"/>
    </row>
    <row r="22" ht="15.65" customFormat="1" customHeight="1" s="101">
      <c r="A22" s="124" t="inlineStr">
        <is>
          <t>Currículum</t>
        </is>
      </c>
      <c r="B22" s="124" t="n"/>
      <c r="C22" s="124" t="inlineStr">
        <is>
          <t>Simple</t>
        </is>
      </c>
      <c r="D22" s="123" t="inlineStr">
        <is>
          <t>por palabra</t>
        </is>
      </c>
      <c r="E22" s="126" t="n">
        <v>1</v>
      </c>
      <c r="F22" s="142" t="inlineStr">
        <is>
          <t>palabras</t>
        </is>
      </c>
      <c r="G22" s="128" t="n">
        <v>0.09</v>
      </c>
      <c r="H22" s="128">
        <f>E22*G22</f>
        <v/>
      </c>
      <c r="I22" s="128">
        <f>H22*0.21</f>
        <v/>
      </c>
      <c r="J22" s="128">
        <f>H22+I22</f>
        <v/>
      </c>
      <c r="K22" s="123" t="n"/>
      <c r="L22" s="123" t="n"/>
      <c r="M22" s="123" t="n"/>
      <c r="N22" s="123" t="n"/>
      <c r="O22" s="123" t="n"/>
      <c r="P22" s="123" t="n"/>
      <c r="Q22" s="123" t="n"/>
      <c r="R22" s="123" t="n"/>
      <c r="S22" s="123" t="n"/>
      <c r="T22" s="123" t="n"/>
    </row>
    <row r="23" ht="15.65" customFormat="1" customHeight="1" s="101">
      <c r="A23" s="124" t="inlineStr">
        <is>
          <t>Carta del empleador</t>
        </is>
      </c>
      <c r="B23" s="124" t="n"/>
      <c r="C23" s="124" t="inlineStr">
        <is>
          <t>Simple</t>
        </is>
      </c>
      <c r="D23" s="123" t="inlineStr">
        <is>
          <t>por palabra</t>
        </is>
      </c>
      <c r="E23" s="126" t="n">
        <v>1</v>
      </c>
      <c r="F23" s="142" t="inlineStr">
        <is>
          <t>palabras</t>
        </is>
      </c>
      <c r="G23" s="128" t="n">
        <v>0.09</v>
      </c>
      <c r="H23" s="128">
        <f>E23*G23</f>
        <v/>
      </c>
      <c r="I23" s="128">
        <f>H23*0.21</f>
        <v/>
      </c>
      <c r="J23" s="128">
        <f>H23+I23</f>
        <v/>
      </c>
      <c r="K23" s="123" t="n"/>
      <c r="L23" s="123" t="n"/>
      <c r="M23" s="123" t="n"/>
      <c r="N23" s="123" t="n"/>
      <c r="O23" s="123" t="n"/>
      <c r="P23" s="123" t="n"/>
      <c r="Q23" s="123" t="n"/>
      <c r="R23" s="123" t="n"/>
      <c r="S23" s="123" t="n"/>
      <c r="T23" s="123" t="n"/>
    </row>
    <row r="24" ht="15.65" customFormat="1" customHeight="1" s="101">
      <c r="A24" s="124" t="inlineStr">
        <is>
          <t>Extensión contrato de trabajo</t>
        </is>
      </c>
      <c r="B24" s="124" t="n"/>
      <c r="C24" s="124" t="inlineStr">
        <is>
          <t>Simple</t>
        </is>
      </c>
      <c r="D24" s="123" t="inlineStr">
        <is>
          <t>por palabra</t>
        </is>
      </c>
      <c r="E24" s="126" t="n">
        <v>1</v>
      </c>
      <c r="F24" s="142" t="inlineStr">
        <is>
          <t>palabras</t>
        </is>
      </c>
      <c r="G24" s="128" t="n">
        <v>0.09</v>
      </c>
      <c r="H24" s="128">
        <f>E24*G24</f>
        <v/>
      </c>
      <c r="I24" s="128">
        <f>H24*0.21</f>
        <v/>
      </c>
      <c r="J24" s="128">
        <f>H24+I24</f>
        <v/>
      </c>
      <c r="K24" s="123" t="n"/>
      <c r="L24" s="123" t="n"/>
      <c r="M24" s="123" t="n"/>
      <c r="N24" s="123" t="n"/>
      <c r="O24" s="123" t="n"/>
      <c r="P24" s="123" t="n"/>
      <c r="Q24" s="123" t="n"/>
      <c r="R24" s="123" t="n"/>
      <c r="S24" s="123" t="n"/>
      <c r="T24" s="123" t="n"/>
    </row>
    <row r="25" ht="15.65" customFormat="1" customHeight="1" s="5">
      <c r="A25" s="124" t="n"/>
      <c r="B25" s="124" t="n"/>
      <c r="C25" s="124" t="n"/>
      <c r="D25" s="123" t="n"/>
      <c r="E25" s="124" t="n"/>
      <c r="F25" s="124" t="n"/>
      <c r="G25" s="124" t="n"/>
      <c r="H25" s="124" t="n"/>
      <c r="I25" s="124" t="n"/>
      <c r="J25" s="124" t="n"/>
      <c r="K25" s="123" t="n"/>
      <c r="L25" s="123" t="n"/>
      <c r="M25" s="123" t="n"/>
      <c r="N25" s="123" t="n"/>
      <c r="O25" s="123" t="n"/>
      <c r="P25" s="123" t="n"/>
      <c r="Q25" s="123" t="n"/>
      <c r="R25" s="123" t="n"/>
      <c r="S25" s="123" t="n"/>
      <c r="T25" s="123" t="n"/>
    </row>
    <row r="26" ht="16" customFormat="1" customHeight="1" s="42" thickBot="1">
      <c r="A26" s="143" t="inlineStr">
        <is>
          <t>TOTALES</t>
        </is>
      </c>
      <c r="B26" s="144" t="n"/>
      <c r="C26" s="144" t="n"/>
      <c r="D26" s="144" t="n"/>
      <c r="E26" s="145" t="n"/>
      <c r="F26" s="145" t="n"/>
      <c r="G26" s="145" t="n"/>
      <c r="H26" s="146">
        <f>SUM(H5:H24)</f>
        <v/>
      </c>
      <c r="I26" s="146">
        <f>SUM(I5:I24)</f>
        <v/>
      </c>
      <c r="J26" s="146">
        <f>SUM(J5:J24)</f>
        <v/>
      </c>
      <c r="K26" s="123" t="n"/>
      <c r="L26" s="123" t="n"/>
      <c r="M26" s="123" t="n"/>
      <c r="N26" s="123" t="n"/>
      <c r="O26" s="123" t="n"/>
      <c r="P26" s="123" t="n"/>
      <c r="Q26" s="123" t="n"/>
      <c r="R26" s="123" t="n"/>
      <c r="S26" s="123" t="n"/>
      <c r="T26" s="123" t="n"/>
    </row>
    <row r="27" ht="13" customFormat="1" customHeight="1" s="40">
      <c r="A27" s="138" t="n"/>
      <c r="B27" s="138" t="n"/>
      <c r="C27" s="123" t="n"/>
      <c r="D27" s="123" t="n"/>
      <c r="E27" s="138" t="n"/>
      <c r="F27" s="138" t="n"/>
      <c r="G27" s="138" t="n"/>
      <c r="H27" s="138" t="n"/>
      <c r="I27" s="138" t="n"/>
      <c r="J27" s="138" t="n"/>
      <c r="K27" s="123" t="n"/>
      <c r="L27" s="123" t="n"/>
      <c r="M27" s="123" t="n"/>
      <c r="N27" s="123" t="n"/>
      <c r="O27" s="123" t="n"/>
      <c r="P27" s="123" t="n"/>
      <c r="Q27" s="123" t="n"/>
      <c r="R27" s="123" t="n"/>
      <c r="S27" s="123" t="n"/>
      <c r="T27" s="123" t="n"/>
    </row>
    <row r="28" ht="13" customFormat="1" customHeight="1" s="13">
      <c r="A28" s="120" t="inlineStr">
        <is>
          <t>Tarifas base orientativas:</t>
        </is>
      </c>
      <c r="B28" s="124" t="n"/>
      <c r="C28" s="123" t="n"/>
      <c r="D28" s="123" t="n"/>
      <c r="E28" s="124" t="n"/>
      <c r="F28" s="124" t="n"/>
      <c r="G28" s="124" t="n"/>
      <c r="H28" s="124" t="n"/>
      <c r="I28" s="124" t="n"/>
      <c r="J28" s="124" t="n"/>
      <c r="K28" s="123" t="n"/>
      <c r="L28" s="123" t="n"/>
      <c r="M28" s="123" t="n"/>
      <c r="N28" s="123" t="n"/>
      <c r="O28" s="123" t="n"/>
      <c r="P28" s="123" t="n"/>
      <c r="Q28" s="123" t="n"/>
      <c r="R28" s="123" t="n"/>
      <c r="S28" s="123" t="n"/>
      <c r="T28" s="123" t="n"/>
    </row>
    <row r="29" ht="13" customFormat="1" customHeight="1" s="13">
      <c r="A29" s="124" t="inlineStr">
        <is>
          <t>• Traducción documentos estándar: 20/30 €/página</t>
        </is>
      </c>
      <c r="B29" s="124" t="n"/>
      <c r="C29" s="123" t="n"/>
      <c r="D29" s="123" t="n"/>
      <c r="E29" s="124" t="n"/>
      <c r="F29" s="124" t="n"/>
      <c r="G29" s="124" t="n"/>
      <c r="H29" s="124" t="n"/>
      <c r="I29" s="124" t="n"/>
      <c r="J29" s="124" t="n"/>
      <c r="K29" s="123" t="n"/>
      <c r="L29" s="123" t="n"/>
      <c r="M29" s="123" t="n"/>
      <c r="N29" s="123" t="n"/>
      <c r="O29" s="123" t="n"/>
      <c r="P29" s="123" t="n"/>
      <c r="Q29" s="123" t="n"/>
      <c r="R29" s="123" t="n"/>
      <c r="S29" s="123" t="n"/>
      <c r="T29" s="123" t="n"/>
    </row>
    <row r="30" ht="13" customFormat="1" customHeight="1" s="13">
      <c r="A30" s="124" t="inlineStr">
        <is>
          <t>• Traducción documentos largos: 0,09 €/palabra</t>
        </is>
      </c>
      <c r="B30" s="124" t="n"/>
      <c r="C30" s="123" t="n"/>
      <c r="D30" s="123" t="n"/>
      <c r="E30" s="124" t="n"/>
      <c r="F30" s="124" t="n"/>
      <c r="G30" s="124" t="n"/>
      <c r="H30" s="124" t="n"/>
      <c r="I30" s="124" t="n"/>
      <c r="J30" s="124" t="n"/>
      <c r="K30" s="123" t="n"/>
      <c r="L30" s="123" t="n"/>
      <c r="M30" s="123" t="n"/>
      <c r="N30" s="123" t="n"/>
      <c r="O30" s="123" t="n"/>
      <c r="P30" s="123" t="n"/>
      <c r="Q30" s="123" t="n"/>
      <c r="R30" s="123" t="n"/>
      <c r="S30" s="123" t="n"/>
      <c r="T30" s="123" t="n"/>
    </row>
    <row r="31" ht="13" customFormat="1" customHeight="1" s="13">
      <c r="A31" s="124" t="inlineStr">
        <is>
          <t>• Apostilla: 5 €/unidad</t>
        </is>
      </c>
      <c r="B31" s="124" t="n"/>
      <c r="C31" s="123" t="n"/>
      <c r="D31" s="123" t="n"/>
      <c r="E31" s="124" t="n"/>
      <c r="F31" s="124" t="n"/>
      <c r="G31" s="124" t="n"/>
      <c r="H31" s="124" t="n"/>
      <c r="I31" s="124" t="n"/>
      <c r="J31" s="124" t="n"/>
      <c r="K31" s="123" t="n"/>
      <c r="L31" s="123" t="n"/>
      <c r="M31" s="123" t="n"/>
      <c r="N31" s="123" t="n"/>
      <c r="O31" s="123" t="n"/>
      <c r="P31" s="123" t="n"/>
      <c r="Q31" s="123" t="n"/>
      <c r="R31" s="123" t="n"/>
      <c r="S31" s="123" t="n"/>
      <c r="T31" s="123" t="n"/>
    </row>
    <row r="32" ht="13" customFormat="1" customHeight="1" s="13">
      <c r="A32" s="124" t="n"/>
      <c r="B32" s="124" t="n"/>
      <c r="C32" s="123" t="n"/>
      <c r="D32" s="123" t="n"/>
      <c r="E32" s="124" t="n"/>
      <c r="F32" s="124" t="n"/>
      <c r="G32" s="124" t="n"/>
      <c r="H32" s="124" t="n"/>
      <c r="I32" s="124" t="n"/>
      <c r="J32" s="124" t="n"/>
      <c r="K32" s="123" t="n"/>
      <c r="L32" s="123" t="n"/>
      <c r="M32" s="123" t="n"/>
      <c r="N32" s="123" t="n"/>
      <c r="O32" s="123" t="n"/>
      <c r="P32" s="123" t="n"/>
      <c r="Q32" s="123" t="n"/>
      <c r="R32" s="123" t="n"/>
      <c r="S32" s="123" t="n"/>
      <c r="T32" s="123" t="n"/>
    </row>
    <row r="33" ht="13" customFormat="1" customHeight="1" s="71">
      <c r="A33" s="120" t="inlineStr">
        <is>
          <t>Nota sobre el IVA:</t>
        </is>
      </c>
      <c r="B33" s="124" t="n"/>
      <c r="C33" s="123" t="n"/>
      <c r="D33" s="123" t="n"/>
      <c r="E33" s="124" t="n"/>
      <c r="F33" s="124" t="n"/>
      <c r="G33" s="124" t="n"/>
      <c r="H33" s="124" t="n"/>
      <c r="I33" s="124" t="n"/>
      <c r="J33" s="124" t="n"/>
      <c r="K33" s="123" t="n"/>
      <c r="L33" s="123" t="n"/>
      <c r="M33" s="123" t="n"/>
      <c r="N33" s="123" t="n"/>
      <c r="O33" s="123" t="n"/>
      <c r="P33" s="123" t="n"/>
      <c r="Q33" s="123" t="n"/>
      <c r="R33" s="123" t="n"/>
      <c r="S33" s="123" t="n"/>
      <c r="T33" s="123" t="n"/>
    </row>
    <row r="34" customFormat="1" s="75">
      <c r="A34" s="120" t="inlineStr">
        <is>
          <t xml:space="preserve">• Empresas radicadas en España: sumar IVA del 21 %; </t>
        </is>
      </c>
      <c r="B34" s="123" t="n"/>
      <c r="C34" s="123" t="n"/>
      <c r="D34" s="123" t="n"/>
      <c r="E34" s="124" t="n"/>
      <c r="F34" s="124" t="n"/>
      <c r="G34" s="124" t="n"/>
      <c r="H34" s="124" t="n"/>
      <c r="I34" s="124" t="n"/>
      <c r="J34" s="124" t="n"/>
      <c r="K34" s="123" t="n"/>
      <c r="L34" s="123" t="n"/>
      <c r="M34" s="123" t="n"/>
      <c r="N34" s="123" t="n"/>
      <c r="O34" s="123" t="n"/>
      <c r="P34" s="123" t="n"/>
      <c r="Q34" s="123" t="n"/>
      <c r="R34" s="123" t="n"/>
      <c r="S34" s="123" t="n"/>
      <c r="T34" s="123" t="n"/>
    </row>
    <row r="35" ht="13" customFormat="1" customHeight="1" s="71">
      <c r="A35" s="120" t="inlineStr">
        <is>
          <t>• Empresas radicadas en otro país de la UE sin número de operador intracomunitario: sumar IVA del 21 %.</t>
        </is>
      </c>
      <c r="B35" s="124" t="n"/>
      <c r="C35" s="123" t="n"/>
      <c r="D35" s="123" t="n"/>
      <c r="E35" s="124" t="n"/>
      <c r="F35" s="124" t="n"/>
      <c r="G35" s="124" t="n"/>
      <c r="H35" s="124" t="n"/>
      <c r="I35" s="124" t="n"/>
      <c r="J35" s="124" t="n"/>
      <c r="K35" s="123" t="n"/>
      <c r="L35" s="123" t="n"/>
      <c r="M35" s="123" t="n"/>
      <c r="N35" s="123" t="n"/>
      <c r="O35" s="123" t="n"/>
      <c r="P35" s="123" t="n"/>
      <c r="Q35" s="123" t="n"/>
      <c r="R35" s="123" t="n"/>
      <c r="S35" s="123" t="n"/>
      <c r="T35" s="123" t="n"/>
    </row>
    <row r="36">
      <c r="A36" s="147" t="inlineStr">
        <is>
          <t>• Todas las personas particulares, al margen de su lugar de residencia fiscal, cuando la traducción se vaya a presentar en España: sumar IVA del 21 %</t>
        </is>
      </c>
      <c r="B36" s="123" t="n"/>
      <c r="C36" s="123" t="n"/>
      <c r="D36" s="123" t="n"/>
      <c r="E36" s="123" t="n"/>
      <c r="F36" s="123" t="n"/>
      <c r="G36" s="123" t="n"/>
      <c r="H36" s="123" t="n"/>
      <c r="I36" s="123" t="n"/>
      <c r="J36" s="123" t="n"/>
      <c r="K36" s="123" t="n"/>
      <c r="L36" s="123" t="n"/>
      <c r="M36" s="123" t="n"/>
      <c r="N36" s="123" t="n"/>
      <c r="O36" s="123" t="n"/>
      <c r="P36" s="123" t="n"/>
      <c r="Q36" s="123" t="n"/>
      <c r="R36" s="123" t="n"/>
      <c r="S36" s="123" t="n"/>
      <c r="T36" s="123" t="n"/>
    </row>
    <row r="37">
      <c r="A37" s="123" t="n"/>
      <c r="B37" s="123" t="n"/>
      <c r="C37" s="123" t="n"/>
      <c r="D37" s="123" t="n"/>
      <c r="E37" s="123" t="n"/>
      <c r="F37" s="123" t="n"/>
      <c r="G37" s="123" t="n"/>
      <c r="H37" s="123" t="n"/>
      <c r="I37" s="123" t="n"/>
      <c r="J37" s="123" t="n"/>
      <c r="K37" s="123" t="n"/>
      <c r="L37" s="123" t="n"/>
      <c r="M37" s="123" t="n"/>
      <c r="N37" s="123" t="n"/>
      <c r="O37" s="123" t="n"/>
      <c r="P37" s="123" t="n"/>
      <c r="Q37" s="123" t="n"/>
      <c r="R37" s="123" t="n"/>
      <c r="S37" s="123" t="n"/>
      <c r="T37" s="123" t="n"/>
    </row>
    <row r="38">
      <c r="A38" s="123" t="n"/>
      <c r="B38" s="123" t="n"/>
      <c r="C38" s="123" t="n"/>
      <c r="D38" s="123" t="n"/>
      <c r="E38" s="123" t="n"/>
      <c r="F38" s="123" t="n"/>
      <c r="G38" s="123" t="n"/>
      <c r="H38" s="123" t="n"/>
      <c r="I38" s="123" t="n"/>
      <c r="J38" s="123" t="n"/>
      <c r="K38" s="123" t="n"/>
      <c r="L38" s="123" t="n"/>
      <c r="M38" s="123" t="n"/>
      <c r="N38" s="123" t="n"/>
      <c r="O38" s="123" t="n"/>
      <c r="P38" s="123" t="n"/>
      <c r="Q38" s="123" t="n"/>
      <c r="R38" s="123" t="n"/>
      <c r="S38" s="123" t="n"/>
      <c r="T38" s="123" t="n"/>
    </row>
    <row r="39">
      <c r="A39" s="123" t="n"/>
      <c r="B39" s="123" t="n"/>
      <c r="C39" s="123" t="n"/>
      <c r="D39" s="123" t="n"/>
      <c r="E39" s="123" t="n"/>
      <c r="F39" s="123" t="n"/>
      <c r="G39" s="123" t="n"/>
      <c r="H39" s="123" t="n"/>
      <c r="I39" s="123" t="n"/>
      <c r="J39" s="123" t="n"/>
      <c r="K39" s="123" t="n"/>
      <c r="L39" s="123" t="n"/>
      <c r="M39" s="123" t="n"/>
      <c r="N39" s="123" t="n"/>
      <c r="O39" s="123" t="n"/>
      <c r="P39" s="123" t="n"/>
      <c r="Q39" s="123" t="n"/>
      <c r="R39" s="123" t="n"/>
      <c r="S39" s="123" t="n"/>
      <c r="T39" s="123" t="n"/>
    </row>
    <row r="40">
      <c r="A40" s="123" t="n"/>
      <c r="B40" s="123" t="n"/>
      <c r="C40" s="123" t="n"/>
      <c r="D40" s="123" t="n"/>
      <c r="E40" s="123" t="n"/>
      <c r="F40" s="123" t="n"/>
      <c r="G40" s="123" t="n"/>
      <c r="H40" s="123" t="n"/>
      <c r="I40" s="123" t="n"/>
      <c r="J40" s="123" t="n"/>
      <c r="K40" s="123" t="n"/>
      <c r="L40" s="123" t="n"/>
      <c r="M40" s="123" t="n"/>
      <c r="N40" s="123" t="n"/>
      <c r="O40" s="123" t="n"/>
      <c r="P40" s="123" t="n"/>
      <c r="Q40" s="123" t="n"/>
      <c r="R40" s="123" t="n"/>
      <c r="S40" s="123" t="n"/>
      <c r="T40" s="123" t="n"/>
    </row>
    <row r="41">
      <c r="A41" s="123" t="n"/>
      <c r="B41" s="123" t="n"/>
      <c r="C41" s="123" t="n"/>
      <c r="D41" s="123" t="n"/>
      <c r="E41" s="123" t="n"/>
      <c r="F41" s="123" t="n"/>
      <c r="G41" s="123" t="n"/>
      <c r="H41" s="123" t="n"/>
      <c r="I41" s="123" t="n"/>
      <c r="J41" s="123" t="n"/>
      <c r="K41" s="123" t="n"/>
      <c r="L41" s="123" t="n"/>
      <c r="M41" s="123" t="n"/>
      <c r="N41" s="123" t="n"/>
      <c r="O41" s="123" t="n"/>
      <c r="P41" s="123" t="n"/>
      <c r="Q41" s="123" t="n"/>
      <c r="R41" s="123" t="n"/>
      <c r="S41" s="123" t="n"/>
      <c r="T41" s="123" t="n"/>
    </row>
    <row r="42">
      <c r="A42" s="123" t="n"/>
      <c r="B42" s="123" t="n"/>
      <c r="C42" s="123" t="n"/>
      <c r="D42" s="123" t="n"/>
      <c r="E42" s="123" t="n"/>
      <c r="F42" s="123" t="n"/>
      <c r="G42" s="123" t="n"/>
      <c r="H42" s="123" t="n"/>
      <c r="I42" s="123" t="n"/>
      <c r="J42" s="123" t="n"/>
      <c r="K42" s="123" t="n"/>
      <c r="L42" s="123" t="n"/>
      <c r="M42" s="123" t="n"/>
      <c r="N42" s="123" t="n"/>
      <c r="O42" s="123" t="n"/>
      <c r="P42" s="123" t="n"/>
      <c r="Q42" s="123" t="n"/>
      <c r="R42" s="123" t="n"/>
      <c r="S42" s="123" t="n"/>
      <c r="T42" s="123" t="n"/>
    </row>
    <row r="43">
      <c r="A43" s="123" t="n"/>
      <c r="B43" s="123" t="n"/>
      <c r="C43" s="123" t="n"/>
      <c r="D43" s="123" t="n"/>
      <c r="E43" s="123" t="n"/>
      <c r="F43" s="123" t="n"/>
      <c r="G43" s="123" t="n"/>
      <c r="H43" s="123" t="n"/>
      <c r="I43" s="123" t="n"/>
      <c r="J43" s="123" t="n"/>
      <c r="K43" s="123" t="n"/>
      <c r="L43" s="123" t="n"/>
      <c r="M43" s="123" t="n"/>
      <c r="N43" s="123" t="n"/>
      <c r="O43" s="123" t="n"/>
      <c r="P43" s="123" t="n"/>
      <c r="Q43" s="123" t="n"/>
      <c r="R43" s="123" t="n"/>
      <c r="S43" s="123" t="n"/>
      <c r="T43" s="123" t="n"/>
    </row>
    <row r="44">
      <c r="A44" s="123" t="n"/>
      <c r="B44" s="123" t="n"/>
      <c r="C44" s="123" t="n"/>
      <c r="D44" s="123" t="n"/>
      <c r="E44" s="123" t="n"/>
      <c r="F44" s="123" t="n"/>
      <c r="G44" s="123" t="n"/>
      <c r="H44" s="123" t="n"/>
      <c r="I44" s="123" t="n"/>
      <c r="J44" s="123" t="n"/>
      <c r="K44" s="123" t="n"/>
      <c r="L44" s="123" t="n"/>
      <c r="M44" s="123" t="n"/>
      <c r="N44" s="123" t="n"/>
      <c r="O44" s="123" t="n"/>
      <c r="P44" s="123" t="n"/>
      <c r="Q44" s="123" t="n"/>
      <c r="R44" s="123" t="n"/>
      <c r="S44" s="123" t="n"/>
      <c r="T44" s="123" t="n"/>
    </row>
    <row r="45">
      <c r="A45" s="123" t="n"/>
      <c r="B45" s="123" t="n"/>
      <c r="C45" s="123" t="n"/>
      <c r="D45" s="123" t="n"/>
      <c r="E45" s="123" t="n"/>
      <c r="F45" s="123" t="n"/>
      <c r="G45" s="123" t="n"/>
      <c r="H45" s="123" t="n"/>
      <c r="I45" s="123" t="n"/>
      <c r="J45" s="123" t="n"/>
      <c r="K45" s="123" t="n"/>
      <c r="L45" s="123" t="n"/>
      <c r="M45" s="123" t="n"/>
      <c r="N45" s="123" t="n"/>
      <c r="O45" s="123" t="n"/>
      <c r="P45" s="123" t="n"/>
      <c r="Q45" s="123" t="n"/>
      <c r="R45" s="123" t="n"/>
      <c r="S45" s="123" t="n"/>
      <c r="T45" s="123" t="n"/>
    </row>
  </sheetData>
  <mergeCells count="1">
    <mergeCell ref="A1:P1"/>
  </mergeCells>
  <pageMargins left="0.7" right="0.7" top="0.75" bottom="0.75" header="0.3" footer="0.3"/>
  <pageSetup orientation="portrait" paperSize="9" horizontalDpi="3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5"/>
  <sheetViews>
    <sheetView topLeftCell="A7" zoomScale="115" zoomScaleNormal="115" workbookViewId="0">
      <selection activeCell="A31" sqref="A31:XFD34"/>
    </sheetView>
  </sheetViews>
  <sheetFormatPr baseColWidth="10" defaultColWidth="8.7265625" defaultRowHeight="14.5"/>
  <cols>
    <col width="38.08984375" customWidth="1" style="98" min="1" max="1"/>
    <col width="22" customWidth="1" style="98" min="2" max="2"/>
    <col width="18" customWidth="1" style="66" min="3" max="3"/>
    <col width="14" customWidth="1" style="98" min="4" max="4"/>
    <col width="10" customWidth="1" style="98" min="5" max="6"/>
    <col width="10" customWidth="1" style="70" min="7" max="7"/>
    <col width="14" customWidth="1" style="70" min="8" max="8"/>
    <col width="12" customWidth="1" style="68" min="9" max="9"/>
    <col width="14" customWidth="1" style="68" min="10" max="10"/>
    <col width="35" customWidth="1" style="98" min="12" max="12"/>
    <col width="8" customWidth="1" style="98" min="15" max="15"/>
  </cols>
  <sheetData>
    <row r="1" ht="15.5" customHeight="1" s="98">
      <c r="A1" s="147" t="inlineStr">
        <is>
          <t>TRANSLATION QUOTE FOR XXXXX - TRANSLATOR: ROCÍO VALERO LUCAS</t>
        </is>
      </c>
      <c r="Q1" s="123" t="n"/>
      <c r="R1" s="123" t="n"/>
      <c r="S1" s="123" t="n"/>
      <c r="T1" s="123" t="n"/>
    </row>
    <row r="2" ht="15.5" customHeight="1" s="98">
      <c r="A2" s="123" t="n"/>
      <c r="B2" s="123" t="n"/>
      <c r="C2" s="123" t="n"/>
      <c r="D2" s="123" t="n"/>
      <c r="E2" s="123" t="n"/>
      <c r="F2" s="123" t="n"/>
      <c r="G2" s="123" t="n"/>
      <c r="H2" s="123" t="n"/>
      <c r="I2" s="123" t="n"/>
      <c r="J2" s="123" t="n"/>
      <c r="K2" s="123" t="n"/>
      <c r="L2" s="123" t="n"/>
      <c r="M2" s="123" t="n"/>
      <c r="N2" s="123" t="n"/>
      <c r="O2" s="123" t="n"/>
      <c r="P2" s="123" t="n"/>
      <c r="Q2" s="123" t="n"/>
      <c r="R2" s="123" t="n"/>
      <c r="S2" s="123" t="n"/>
      <c r="T2" s="123" t="n"/>
    </row>
    <row r="3">
      <c r="A3" s="147" t="inlineStr">
        <is>
          <t>Document description</t>
        </is>
      </c>
      <c r="B3" s="147" t="inlineStr">
        <is>
          <t>Original PDF name</t>
        </is>
      </c>
      <c r="C3" s="147" t="inlineStr">
        <is>
          <t>Translation type</t>
        </is>
      </c>
      <c r="D3" s="147" t="inlineStr">
        <is>
          <t>Rate type</t>
        </is>
      </c>
      <c r="E3" s="147" t="inlineStr">
        <is>
          <t>Quantity</t>
        </is>
      </c>
      <c r="F3" s="147" t="inlineStr">
        <is>
          <t>Unit</t>
        </is>
      </c>
      <c r="G3" s="148" t="inlineStr">
        <is>
          <t>Rate</t>
        </is>
      </c>
      <c r="H3" s="148" t="inlineStr">
        <is>
          <t>Subtotal</t>
        </is>
      </c>
      <c r="I3" s="148" t="inlineStr">
        <is>
          <t>VAT (21%)</t>
        </is>
      </c>
      <c r="J3" s="148" t="inlineStr">
        <is>
          <t>Total</t>
        </is>
      </c>
      <c r="K3" s="123" t="n"/>
      <c r="L3" s="123" t="n"/>
      <c r="M3" s="123" t="n"/>
      <c r="N3" s="123" t="n"/>
      <c r="O3" s="123" t="n"/>
      <c r="P3" s="123" t="n"/>
      <c r="Q3" s="123" t="n"/>
      <c r="R3" s="123" t="n"/>
      <c r="S3" s="123" t="n"/>
      <c r="T3" s="123" t="n"/>
    </row>
    <row r="4" ht="11.5" customFormat="1" customHeight="1" s="84">
      <c r="A4" s="147" t="inlineStr">
        <is>
          <t>Standard documents</t>
        </is>
      </c>
      <c r="B4" s="123" t="n"/>
      <c r="C4" s="123" t="n"/>
      <c r="D4" s="123" t="n"/>
      <c r="E4" s="123" t="n"/>
      <c r="F4" s="123" t="n"/>
      <c r="G4" s="123" t="n"/>
      <c r="H4" s="123" t="n"/>
      <c r="I4" s="123" t="n"/>
      <c r="J4" s="123" t="n"/>
      <c r="K4" s="123" t="n"/>
      <c r="L4" s="123" t="n"/>
      <c r="M4" s="123" t="n"/>
      <c r="N4" s="123" t="n"/>
      <c r="O4" s="123" t="n"/>
      <c r="P4" s="123" t="n"/>
      <c r="Q4" s="123" t="n"/>
      <c r="R4" s="123" t="n"/>
      <c r="S4" s="123" t="n"/>
      <c r="T4" s="123" t="n"/>
    </row>
    <row r="5" ht="11.5" customFormat="1" customHeight="1" s="84">
      <c r="A5" s="123" t="inlineStr">
        <is>
          <t>Birth certificate</t>
        </is>
      </c>
      <c r="B5" s="123" t="n"/>
      <c r="C5" s="123" t="inlineStr">
        <is>
          <t>Sworn</t>
        </is>
      </c>
      <c r="D5" s="123" t="inlineStr">
        <is>
          <t>Per page</t>
        </is>
      </c>
      <c r="E5" s="139" t="n">
        <v>3</v>
      </c>
      <c r="F5" s="149" t="inlineStr">
        <is>
          <t>pages</t>
        </is>
      </c>
      <c r="G5" s="141" t="n">
        <v>20</v>
      </c>
      <c r="H5" s="141">
        <f>E5*G5</f>
        <v/>
      </c>
      <c r="I5" s="141">
        <f>H5*0.21</f>
        <v/>
      </c>
      <c r="J5" s="141">
        <f>H5+I5</f>
        <v/>
      </c>
      <c r="K5" s="123" t="n"/>
      <c r="L5" s="123" t="n"/>
      <c r="M5" s="123" t="n"/>
      <c r="N5" s="123" t="n"/>
      <c r="O5" s="123" t="n"/>
      <c r="P5" s="123" t="n"/>
      <c r="Q5" s="123" t="n"/>
      <c r="R5" s="123" t="n"/>
      <c r="S5" s="123" t="n"/>
      <c r="T5" s="123" t="n"/>
    </row>
    <row r="6" ht="11.5" customFormat="1" customHeight="1" s="84">
      <c r="A6" s="123" t="inlineStr">
        <is>
          <t>Marriage certificate</t>
        </is>
      </c>
      <c r="B6" s="123" t="n"/>
      <c r="C6" s="123" t="inlineStr">
        <is>
          <t>Sworn</t>
        </is>
      </c>
      <c r="D6" s="123" t="inlineStr">
        <is>
          <t>Per page</t>
        </is>
      </c>
      <c r="E6" s="139" t="n">
        <v>1</v>
      </c>
      <c r="F6" s="149" t="inlineStr">
        <is>
          <t>page</t>
        </is>
      </c>
      <c r="G6" s="141" t="n">
        <v>20</v>
      </c>
      <c r="H6" s="141">
        <f>E6*G6</f>
        <v/>
      </c>
      <c r="I6" s="141">
        <f>H6*0.21</f>
        <v/>
      </c>
      <c r="J6" s="141">
        <f>H6+I6</f>
        <v/>
      </c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</row>
    <row r="7" ht="11.5" customFormat="1" customHeight="1" s="84">
      <c r="A7" s="123" t="inlineStr">
        <is>
          <t>University degree</t>
        </is>
      </c>
      <c r="B7" s="123" t="n"/>
      <c r="C7" s="123" t="inlineStr">
        <is>
          <t>Sworn</t>
        </is>
      </c>
      <c r="D7" s="123" t="inlineStr">
        <is>
          <t>Per page</t>
        </is>
      </c>
      <c r="E7" s="139" t="n">
        <v>1</v>
      </c>
      <c r="F7" s="149" t="inlineStr">
        <is>
          <t>page</t>
        </is>
      </c>
      <c r="G7" s="141" t="n">
        <v>20</v>
      </c>
      <c r="H7" s="141">
        <f>E7*G7</f>
        <v/>
      </c>
      <c r="I7" s="141">
        <f>H7*0.21</f>
        <v/>
      </c>
      <c r="J7" s="141">
        <f>H7+I7</f>
        <v/>
      </c>
      <c r="K7" s="123" t="n"/>
      <c r="L7" s="123" t="n"/>
      <c r="M7" s="123" t="n"/>
      <c r="N7" s="123" t="n"/>
      <c r="O7" s="123" t="n"/>
      <c r="P7" s="123" t="n"/>
      <c r="Q7" s="123" t="n"/>
      <c r="R7" s="123" t="n"/>
      <c r="S7" s="123" t="n"/>
      <c r="T7" s="123" t="n"/>
    </row>
    <row r="8" ht="11.5" customFormat="1" customHeight="1" s="84">
      <c r="A8" s="123" t="inlineStr">
        <is>
          <t>Certificate of incorporation</t>
        </is>
      </c>
      <c r="B8" s="123" t="n"/>
      <c r="C8" s="123" t="inlineStr">
        <is>
          <t>Sworn</t>
        </is>
      </c>
      <c r="D8" s="123" t="inlineStr">
        <is>
          <t>Per page</t>
        </is>
      </c>
      <c r="E8" s="139" t="n">
        <v>1</v>
      </c>
      <c r="F8" s="149" t="inlineStr">
        <is>
          <t>page</t>
        </is>
      </c>
      <c r="G8" s="141" t="n">
        <v>20</v>
      </c>
      <c r="H8" s="141">
        <f>E8*G8</f>
        <v/>
      </c>
      <c r="I8" s="141">
        <f>H8*0.21</f>
        <v/>
      </c>
      <c r="J8" s="141">
        <f>H8+I8</f>
        <v/>
      </c>
      <c r="K8" s="123" t="n"/>
      <c r="L8" s="123" t="n"/>
      <c r="M8" s="123" t="n"/>
      <c r="N8" s="123" t="n"/>
      <c r="O8" s="123" t="n"/>
      <c r="P8" s="123" t="n"/>
      <c r="Q8" s="123" t="n"/>
      <c r="R8" s="123" t="n"/>
      <c r="S8" s="123" t="n"/>
      <c r="T8" s="123" t="n"/>
    </row>
    <row r="9" ht="11.5" customFormat="1" customHeight="1" s="84">
      <c r="A9" s="123" t="inlineStr">
        <is>
          <t>Certificate of incorporation on change of name</t>
        </is>
      </c>
      <c r="B9" s="123" t="n"/>
      <c r="C9" s="123" t="inlineStr">
        <is>
          <t>Sworn</t>
        </is>
      </c>
      <c r="D9" s="123" t="inlineStr">
        <is>
          <t>Per page</t>
        </is>
      </c>
      <c r="E9" s="139" t="n">
        <v>1</v>
      </c>
      <c r="F9" s="149" t="inlineStr">
        <is>
          <t>page</t>
        </is>
      </c>
      <c r="G9" s="141" t="n">
        <v>30</v>
      </c>
      <c r="H9" s="141">
        <f>E9*G9</f>
        <v/>
      </c>
      <c r="I9" s="141">
        <f>H9*0.21</f>
        <v/>
      </c>
      <c r="J9" s="141">
        <f>H9+I9</f>
        <v/>
      </c>
      <c r="K9" s="123" t="n"/>
      <c r="L9" s="123" t="n"/>
      <c r="M9" s="123" t="n"/>
      <c r="N9" s="123" t="n"/>
      <c r="O9" s="123" t="n"/>
      <c r="P9" s="123" t="n"/>
      <c r="Q9" s="123" t="n"/>
      <c r="R9" s="123" t="n"/>
      <c r="S9" s="123" t="n"/>
      <c r="T9" s="123" t="n"/>
    </row>
    <row r="10" ht="11.5" customFormat="1" customHeight="1" s="84">
      <c r="A10" s="123" t="inlineStr">
        <is>
          <t>Police certificates (UK)</t>
        </is>
      </c>
      <c r="B10" s="123" t="n"/>
      <c r="C10" s="123" t="inlineStr">
        <is>
          <t>Sworn</t>
        </is>
      </c>
      <c r="D10" s="123" t="inlineStr">
        <is>
          <t>Per page</t>
        </is>
      </c>
      <c r="E10" s="139" t="n">
        <v>1</v>
      </c>
      <c r="F10" s="149" t="inlineStr">
        <is>
          <t>page</t>
        </is>
      </c>
      <c r="G10" s="141" t="n">
        <v>20</v>
      </c>
      <c r="H10" s="141">
        <f>E10*G10</f>
        <v/>
      </c>
      <c r="I10" s="141">
        <f>H10*0.21</f>
        <v/>
      </c>
      <c r="J10" s="141">
        <f>H10+I10</f>
        <v/>
      </c>
      <c r="K10" s="123" t="n"/>
      <c r="L10" s="123" t="n"/>
      <c r="M10" s="123" t="n"/>
      <c r="N10" s="123" t="n"/>
      <c r="O10" s="123" t="n"/>
      <c r="P10" s="123" t="n"/>
      <c r="Q10" s="123" t="n"/>
      <c r="R10" s="123" t="n"/>
      <c r="S10" s="123" t="n"/>
      <c r="T10" s="123" t="n"/>
    </row>
    <row r="11" ht="11.5" customFormat="1" customHeight="1" s="84">
      <c r="A11" s="123" t="inlineStr">
        <is>
          <t>Notarial certification</t>
        </is>
      </c>
      <c r="B11" s="123" t="n"/>
      <c r="C11" s="123" t="inlineStr">
        <is>
          <t>Sworn</t>
        </is>
      </c>
      <c r="D11" s="123" t="inlineStr">
        <is>
          <t>Per page</t>
        </is>
      </c>
      <c r="E11" s="139" t="n">
        <v>1</v>
      </c>
      <c r="F11" s="149" t="inlineStr">
        <is>
          <t>page</t>
        </is>
      </c>
      <c r="G11" s="141" t="n">
        <v>20</v>
      </c>
      <c r="H11" s="141">
        <f>E11*G11</f>
        <v/>
      </c>
      <c r="I11" s="141">
        <f>H11*0.21</f>
        <v/>
      </c>
      <c r="J11" s="141">
        <f>H11+I11</f>
        <v/>
      </c>
      <c r="K11" s="123" t="n"/>
      <c r="L11" s="123" t="n"/>
      <c r="M11" s="123" t="n"/>
      <c r="N11" s="123" t="n"/>
      <c r="O11" s="123" t="n"/>
      <c r="P11" s="123" t="n"/>
      <c r="Q11" s="123" t="n"/>
      <c r="R11" s="123" t="n"/>
      <c r="S11" s="123" t="n"/>
      <c r="T11" s="123" t="n"/>
    </row>
    <row r="12" ht="11.5" customFormat="1" customHeight="1" s="84">
      <c r="A12" s="123" t="n"/>
      <c r="B12" s="123" t="n"/>
      <c r="C12" s="123" t="n"/>
      <c r="D12" s="123" t="n"/>
      <c r="E12" s="123" t="n"/>
      <c r="F12" s="123" t="n"/>
      <c r="G12" s="123" t="n"/>
      <c r="H12" s="123" t="n"/>
      <c r="I12" s="123" t="n"/>
      <c r="J12" s="123" t="n"/>
      <c r="K12" s="123" t="n"/>
      <c r="L12" s="123" t="n"/>
      <c r="M12" s="123" t="n"/>
      <c r="N12" s="123" t="n"/>
      <c r="O12" s="123" t="n"/>
      <c r="P12" s="123" t="n"/>
      <c r="Q12" s="123" t="n"/>
      <c r="R12" s="123" t="n"/>
      <c r="S12" s="123" t="n"/>
      <c r="T12" s="123" t="n"/>
    </row>
    <row r="13" ht="11.5" customFormat="1" customHeight="1" s="84">
      <c r="A13" s="147" t="inlineStr">
        <is>
          <t>Apostille(s)</t>
        </is>
      </c>
      <c r="B13" s="123" t="n"/>
      <c r="C13" s="123" t="n"/>
      <c r="D13" s="123" t="n"/>
      <c r="E13" s="123" t="n"/>
      <c r="F13" s="123" t="n"/>
      <c r="G13" s="123" t="n"/>
      <c r="H13" s="123" t="n"/>
      <c r="I13" s="123" t="n"/>
      <c r="J13" s="123" t="n"/>
      <c r="K13" s="123" t="n"/>
      <c r="L13" s="123" t="n"/>
      <c r="M13" s="123" t="n"/>
      <c r="N13" s="123" t="n"/>
      <c r="O13" s="123" t="n"/>
      <c r="P13" s="123" t="n"/>
      <c r="Q13" s="123" t="n"/>
      <c r="R13" s="123" t="n"/>
      <c r="S13" s="123" t="n"/>
      <c r="T13" s="123" t="n"/>
    </row>
    <row r="14" ht="11.5" customFormat="1" customHeight="1" s="84">
      <c r="A14" s="123" t="inlineStr">
        <is>
          <t>Certificate of change of name</t>
        </is>
      </c>
      <c r="B14" s="123" t="n"/>
      <c r="C14" s="123" t="inlineStr">
        <is>
          <t>Apostille</t>
        </is>
      </c>
      <c r="D14" s="123" t="inlineStr">
        <is>
          <t>per document</t>
        </is>
      </c>
      <c r="E14" s="139" t="n">
        <v>1</v>
      </c>
      <c r="F14" s="149" t="inlineStr">
        <is>
          <t>apostille</t>
        </is>
      </c>
      <c r="G14" s="141" t="n">
        <v>5</v>
      </c>
      <c r="H14" s="141">
        <f>E14*G14</f>
        <v/>
      </c>
      <c r="I14" s="141">
        <f>H14*0.21</f>
        <v/>
      </c>
      <c r="J14" s="141">
        <f>H14+I14</f>
        <v/>
      </c>
      <c r="K14" s="123" t="n"/>
      <c r="L14" s="123" t="n"/>
      <c r="M14" s="123" t="n"/>
      <c r="N14" s="123" t="n"/>
      <c r="O14" s="123" t="n"/>
      <c r="P14" s="123" t="n"/>
      <c r="Q14" s="123" t="n"/>
      <c r="R14" s="123" t="n"/>
      <c r="S14" s="123" t="n"/>
      <c r="T14" s="123" t="n"/>
    </row>
    <row r="15" ht="11.5" customFormat="1" customHeight="1" s="84">
      <c r="A15" s="123" t="inlineStr">
        <is>
          <t>Police certificate</t>
        </is>
      </c>
      <c r="B15" s="123" t="n"/>
      <c r="C15" s="123" t="inlineStr">
        <is>
          <t>Apostille</t>
        </is>
      </c>
      <c r="D15" s="123" t="inlineStr">
        <is>
          <t>per document</t>
        </is>
      </c>
      <c r="E15" s="139" t="n">
        <v>2</v>
      </c>
      <c r="F15" s="149" t="inlineStr">
        <is>
          <t>apostilles</t>
        </is>
      </c>
      <c r="G15" s="141" t="n">
        <v>5</v>
      </c>
      <c r="H15" s="141">
        <f>E15*G15</f>
        <v/>
      </c>
      <c r="I15" s="141">
        <f>H15*0.21</f>
        <v/>
      </c>
      <c r="J15" s="141">
        <f>H15+I15</f>
        <v/>
      </c>
      <c r="K15" s="123" t="n"/>
      <c r="L15" s="123" t="n"/>
      <c r="M15" s="123" t="n"/>
      <c r="N15" s="123" t="n"/>
      <c r="O15" s="123" t="n"/>
      <c r="P15" s="123" t="n"/>
      <c r="Q15" s="123" t="n"/>
      <c r="R15" s="123" t="n"/>
      <c r="S15" s="123" t="n"/>
      <c r="T15" s="123" t="n"/>
    </row>
    <row r="16" ht="11.5" customFormat="1" customHeight="1" s="84">
      <c r="A16" s="123" t="inlineStr">
        <is>
          <t>Certificate of incorporation</t>
        </is>
      </c>
      <c r="B16" s="123" t="n"/>
      <c r="C16" s="123" t="inlineStr">
        <is>
          <t>Apostille</t>
        </is>
      </c>
      <c r="D16" s="123" t="inlineStr">
        <is>
          <t>per document</t>
        </is>
      </c>
      <c r="E16" s="139" t="n">
        <v>1</v>
      </c>
      <c r="F16" s="149" t="inlineStr">
        <is>
          <t>apostille</t>
        </is>
      </c>
      <c r="G16" s="141" t="n">
        <v>5</v>
      </c>
      <c r="H16" s="141">
        <f>E16*G16</f>
        <v/>
      </c>
      <c r="I16" s="141">
        <f>H16*0.21</f>
        <v/>
      </c>
      <c r="J16" s="141">
        <f>H16+I16</f>
        <v/>
      </c>
      <c r="K16" s="123" t="n"/>
      <c r="L16" s="123" t="n"/>
      <c r="M16" s="123" t="n"/>
      <c r="N16" s="123" t="n"/>
      <c r="O16" s="123" t="n"/>
      <c r="P16" s="123" t="n"/>
      <c r="Q16" s="123" t="n"/>
      <c r="R16" s="123" t="n"/>
      <c r="S16" s="123" t="n"/>
      <c r="T16" s="123" t="n"/>
    </row>
    <row r="17" ht="11.5" customFormat="1" customHeight="1" s="84">
      <c r="A17" s="123" t="inlineStr">
        <is>
          <t>University degree</t>
        </is>
      </c>
      <c r="B17" s="123" t="n"/>
      <c r="C17" s="123" t="inlineStr">
        <is>
          <t>Apostille</t>
        </is>
      </c>
      <c r="D17" s="123" t="inlineStr">
        <is>
          <t>per document</t>
        </is>
      </c>
      <c r="E17" s="139" t="n">
        <v>1</v>
      </c>
      <c r="F17" s="149" t="inlineStr">
        <is>
          <t>apostille</t>
        </is>
      </c>
      <c r="G17" s="141" t="n">
        <v>5</v>
      </c>
      <c r="H17" s="141">
        <f>E17*G17</f>
        <v/>
      </c>
      <c r="I17" s="141">
        <f>H17*0.21</f>
        <v/>
      </c>
      <c r="J17" s="141">
        <f>H17+I17</f>
        <v/>
      </c>
      <c r="K17" s="123" t="n"/>
      <c r="L17" s="123" t="n"/>
      <c r="M17" s="123" t="n"/>
      <c r="N17" s="123" t="n"/>
      <c r="O17" s="123" t="n"/>
      <c r="P17" s="123" t="n"/>
      <c r="Q17" s="123" t="n"/>
      <c r="R17" s="123" t="n"/>
      <c r="S17" s="123" t="n"/>
      <c r="T17" s="123" t="n"/>
    </row>
    <row r="18" ht="11.5" customFormat="1" customHeight="1" s="84">
      <c r="A18" s="123" t="inlineStr">
        <is>
          <t>Birth and marriage certificates</t>
        </is>
      </c>
      <c r="B18" s="123" t="n"/>
      <c r="C18" s="123" t="inlineStr">
        <is>
          <t>Apostille</t>
        </is>
      </c>
      <c r="D18" s="123" t="inlineStr">
        <is>
          <t>per document</t>
        </is>
      </c>
      <c r="E18" s="139" t="n">
        <v>4</v>
      </c>
      <c r="F18" s="149" t="inlineStr">
        <is>
          <t>apostilles</t>
        </is>
      </c>
      <c r="G18" s="141" t="n">
        <v>5</v>
      </c>
      <c r="H18" s="141">
        <f>E18*G18</f>
        <v/>
      </c>
      <c r="I18" s="141">
        <f>H18*0.21</f>
        <v/>
      </c>
      <c r="J18" s="141">
        <f>H18+I18</f>
        <v/>
      </c>
      <c r="K18" s="123" t="n"/>
      <c r="L18" s="123" t="n"/>
      <c r="M18" s="123" t="n"/>
      <c r="N18" s="123" t="n"/>
      <c r="O18" s="123" t="n"/>
      <c r="P18" s="123" t="n"/>
      <c r="Q18" s="123" t="n"/>
      <c r="R18" s="123" t="n"/>
      <c r="S18" s="123" t="n"/>
      <c r="T18" s="123" t="n"/>
    </row>
    <row r="19" ht="11.5" customFormat="1" customHeight="1" s="84">
      <c r="A19" s="123" t="n"/>
      <c r="B19" s="123" t="n"/>
      <c r="C19" s="123" t="n"/>
      <c r="D19" s="123" t="n"/>
      <c r="E19" s="123" t="n"/>
      <c r="F19" s="123" t="n"/>
      <c r="G19" s="123" t="n"/>
      <c r="H19" s="123" t="n"/>
      <c r="I19" s="123" t="n"/>
      <c r="J19" s="123" t="n"/>
      <c r="K19" s="123" t="n"/>
      <c r="L19" s="123" t="n"/>
      <c r="M19" s="123" t="n"/>
      <c r="N19" s="123" t="n"/>
      <c r="O19" s="123" t="n"/>
      <c r="P19" s="123" t="n"/>
      <c r="Q19" s="123" t="n"/>
      <c r="R19" s="123" t="n"/>
      <c r="S19" s="123" t="n"/>
      <c r="T19" s="123" t="n"/>
    </row>
    <row r="20" ht="11.5" customFormat="1" customHeight="1" s="84">
      <c r="A20" s="147" t="inlineStr">
        <is>
          <t>Other documents</t>
        </is>
      </c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3" t="n"/>
      <c r="K20" s="123" t="n"/>
      <c r="L20" s="123" t="n"/>
      <c r="M20" s="123" t="n"/>
      <c r="N20" s="123" t="n"/>
      <c r="O20" s="123" t="n"/>
      <c r="P20" s="123" t="n"/>
      <c r="Q20" s="123" t="n"/>
      <c r="R20" s="123" t="n"/>
      <c r="S20" s="123" t="n"/>
      <c r="T20" s="123" t="n"/>
    </row>
    <row r="21" ht="11.5" customFormat="1" customHeight="1" s="84">
      <c r="A21" s="123" t="inlineStr">
        <is>
          <t>Employment contract</t>
        </is>
      </c>
      <c r="B21" s="123" t="n"/>
      <c r="C21" s="123" t="inlineStr">
        <is>
          <t>Non-sworn</t>
        </is>
      </c>
      <c r="D21" s="123" t="inlineStr">
        <is>
          <t>per word</t>
        </is>
      </c>
      <c r="E21" s="139" t="n">
        <v>1</v>
      </c>
      <c r="F21" s="140" t="inlineStr">
        <is>
          <t>words</t>
        </is>
      </c>
      <c r="G21" s="141" t="n">
        <v>0.09</v>
      </c>
      <c r="H21" s="141">
        <f>E21*G21</f>
        <v/>
      </c>
      <c r="I21" s="141">
        <f>H21*0.21</f>
        <v/>
      </c>
      <c r="J21" s="141">
        <f>H21+I21</f>
        <v/>
      </c>
      <c r="K21" s="123" t="n"/>
      <c r="L21" s="123" t="n"/>
      <c r="M21" s="123" t="n"/>
      <c r="N21" s="123" t="n"/>
      <c r="O21" s="123" t="n"/>
      <c r="P21" s="123" t="n"/>
      <c r="Q21" s="123" t="n"/>
      <c r="R21" s="123" t="n"/>
      <c r="S21" s="123" t="n"/>
      <c r="T21" s="123" t="n"/>
    </row>
    <row r="22" ht="11.5" customFormat="1" customHeight="1" s="84">
      <c r="A22" s="123" t="inlineStr">
        <is>
          <t>CV / Resumé</t>
        </is>
      </c>
      <c r="B22" s="123" t="n"/>
      <c r="C22" s="123" t="inlineStr">
        <is>
          <t>Non-sworn</t>
        </is>
      </c>
      <c r="D22" s="123" t="inlineStr">
        <is>
          <t>per word</t>
        </is>
      </c>
      <c r="E22" s="139" t="n">
        <v>1</v>
      </c>
      <c r="F22" s="140" t="inlineStr">
        <is>
          <t>words</t>
        </is>
      </c>
      <c r="G22" s="141" t="n">
        <v>0.09</v>
      </c>
      <c r="H22" s="141">
        <f>E22*G22</f>
        <v/>
      </c>
      <c r="I22" s="141">
        <f>H22*0.21</f>
        <v/>
      </c>
      <c r="J22" s="141">
        <f>H22+I22</f>
        <v/>
      </c>
      <c r="K22" s="123" t="n"/>
      <c r="L22" s="123" t="n"/>
      <c r="M22" s="123" t="n"/>
      <c r="N22" s="123" t="n"/>
      <c r="O22" s="123" t="n"/>
      <c r="P22" s="123" t="n"/>
      <c r="Q22" s="123" t="n"/>
      <c r="R22" s="123" t="n"/>
      <c r="S22" s="123" t="n"/>
      <c r="T22" s="123" t="n"/>
    </row>
    <row r="23" ht="11.5" customFormat="1" customHeight="1" s="84">
      <c r="A23" s="123" t="inlineStr">
        <is>
          <t>Employer's letter</t>
        </is>
      </c>
      <c r="B23" s="123" t="n"/>
      <c r="C23" s="123" t="inlineStr">
        <is>
          <t>Non-sworn</t>
        </is>
      </c>
      <c r="D23" s="123" t="inlineStr">
        <is>
          <t>per word</t>
        </is>
      </c>
      <c r="E23" s="139" t="n">
        <v>1</v>
      </c>
      <c r="F23" s="140" t="inlineStr">
        <is>
          <t>words</t>
        </is>
      </c>
      <c r="G23" s="141" t="n">
        <v>0.09</v>
      </c>
      <c r="H23" s="141">
        <f>E23*G23</f>
        <v/>
      </c>
      <c r="I23" s="141">
        <f>H23*0.21</f>
        <v/>
      </c>
      <c r="J23" s="141">
        <f>H23+I23</f>
        <v/>
      </c>
      <c r="K23" s="123" t="n"/>
      <c r="L23" s="123" t="n"/>
      <c r="M23" s="123" t="n"/>
      <c r="N23" s="123" t="n"/>
      <c r="O23" s="123" t="n"/>
      <c r="P23" s="123" t="n"/>
      <c r="Q23" s="123" t="n"/>
      <c r="R23" s="123" t="n"/>
      <c r="S23" s="123" t="n"/>
      <c r="T23" s="123" t="n"/>
    </row>
    <row r="24" ht="11.5" customFormat="1" customHeight="1" s="84">
      <c r="A24" s="123" t="inlineStr">
        <is>
          <t>Employment contract extension</t>
        </is>
      </c>
      <c r="B24" s="123" t="n"/>
      <c r="C24" s="123" t="inlineStr">
        <is>
          <t>Non-sworn</t>
        </is>
      </c>
      <c r="D24" s="123" t="inlineStr">
        <is>
          <t>per word</t>
        </is>
      </c>
      <c r="E24" s="139" t="n">
        <v>1</v>
      </c>
      <c r="F24" s="140" t="inlineStr">
        <is>
          <t>words</t>
        </is>
      </c>
      <c r="G24" s="141" t="n">
        <v>0.09</v>
      </c>
      <c r="H24" s="141">
        <f>E24*G24</f>
        <v/>
      </c>
      <c r="I24" s="141">
        <f>H24*0.21</f>
        <v/>
      </c>
      <c r="J24" s="141">
        <f>H24+I24</f>
        <v/>
      </c>
      <c r="K24" s="123" t="n"/>
      <c r="L24" s="123" t="n"/>
      <c r="M24" s="123" t="n"/>
      <c r="N24" s="123" t="n"/>
      <c r="O24" s="123" t="n"/>
      <c r="P24" s="123" t="n"/>
      <c r="Q24" s="123" t="n"/>
      <c r="R24" s="123" t="n"/>
      <c r="S24" s="123" t="n"/>
      <c r="T24" s="123" t="n"/>
    </row>
    <row r="25">
      <c r="A25" s="123" t="n"/>
      <c r="B25" s="123" t="n"/>
      <c r="C25" s="123" t="n"/>
      <c r="D25" s="123" t="n"/>
      <c r="E25" s="123" t="n"/>
      <c r="F25" s="123" t="n"/>
      <c r="G25" s="123" t="n"/>
      <c r="H25" s="123" t="n"/>
      <c r="I25" s="123" t="n"/>
      <c r="J25" s="123" t="n"/>
      <c r="K25" s="123" t="n"/>
      <c r="L25" s="123" t="n"/>
      <c r="M25" s="123" t="n"/>
      <c r="N25" s="123" t="n"/>
      <c r="O25" s="123" t="n"/>
      <c r="P25" s="123" t="n"/>
      <c r="Q25" s="123" t="n"/>
      <c r="R25" s="123" t="n"/>
      <c r="S25" s="123" t="n"/>
      <c r="T25" s="123" t="n"/>
    </row>
    <row r="26" ht="14" customFormat="1" customHeight="1" s="80">
      <c r="A26" s="143" t="inlineStr">
        <is>
          <t>TOTALS</t>
        </is>
      </c>
      <c r="B26" s="144" t="n"/>
      <c r="C26" s="144" t="n"/>
      <c r="D26" s="144" t="n"/>
      <c r="E26" s="144" t="n"/>
      <c r="F26" s="144" t="n"/>
      <c r="G26" s="144" t="n"/>
      <c r="H26" s="150">
        <f>SUM(H5:H24)</f>
        <v/>
      </c>
      <c r="I26" s="150">
        <f>SUM(I5:I24)</f>
        <v/>
      </c>
      <c r="J26" s="150">
        <f>SUM(J5:J24)</f>
        <v/>
      </c>
      <c r="K26" s="123" t="n"/>
      <c r="L26" s="123" t="n"/>
      <c r="M26" s="123" t="n"/>
      <c r="N26" s="123" t="n"/>
      <c r="O26" s="123" t="n"/>
      <c r="P26" s="123" t="n"/>
      <c r="Q26" s="123" t="n"/>
      <c r="R26" s="123" t="n"/>
      <c r="S26" s="123" t="n"/>
      <c r="T26" s="123" t="n"/>
    </row>
    <row r="27" ht="14" customFormat="1" customHeight="1" s="80">
      <c r="A27" s="123" t="n"/>
      <c r="B27" s="123" t="n"/>
      <c r="C27" s="123" t="n"/>
      <c r="D27" s="123" t="n"/>
      <c r="E27" s="123" t="n"/>
      <c r="F27" s="123" t="n"/>
      <c r="G27" s="123" t="n"/>
      <c r="H27" s="123" t="n"/>
      <c r="I27" s="123" t="n"/>
      <c r="J27" s="123" t="n"/>
      <c r="K27" s="123" t="n"/>
      <c r="L27" s="123" t="n"/>
      <c r="M27" s="123" t="n"/>
      <c r="N27" s="123" t="n"/>
      <c r="O27" s="123" t="n"/>
      <c r="P27" s="123" t="n"/>
      <c r="Q27" s="123" t="n"/>
      <c r="R27" s="123" t="n"/>
      <c r="S27" s="123" t="n"/>
      <c r="T27" s="123" t="n"/>
    </row>
    <row r="28" ht="14" customFormat="1" customHeight="1" s="80">
      <c r="A28" s="147" t="inlineStr">
        <is>
          <t>Indicative base rates:</t>
        </is>
      </c>
      <c r="B28" s="123" t="n"/>
      <c r="C28" s="123" t="n"/>
      <c r="D28" s="123" t="n"/>
      <c r="E28" s="123" t="n"/>
      <c r="F28" s="123" t="n"/>
      <c r="G28" s="123" t="n"/>
      <c r="H28" s="123" t="n"/>
      <c r="I28" s="123" t="n"/>
      <c r="J28" s="123" t="n"/>
      <c r="K28" s="123" t="n"/>
      <c r="L28" s="123" t="n"/>
      <c r="M28" s="123" t="n"/>
      <c r="N28" s="123" t="n"/>
      <c r="O28" s="123" t="n"/>
      <c r="P28" s="123" t="n"/>
      <c r="Q28" s="123" t="n"/>
      <c r="R28" s="123" t="n"/>
      <c r="S28" s="123" t="n"/>
      <c r="T28" s="123" t="n"/>
    </row>
    <row r="29" ht="14" customFormat="1" customHeight="1" s="80">
      <c r="A29" s="123" t="inlineStr">
        <is>
          <t>• Standard document translation: €20/30/page</t>
        </is>
      </c>
      <c r="B29" s="123" t="n"/>
      <c r="C29" s="123" t="n"/>
      <c r="D29" s="123" t="n"/>
      <c r="E29" s="123" t="n"/>
      <c r="F29" s="123" t="n"/>
      <c r="G29" s="123" t="n"/>
      <c r="H29" s="123" t="n"/>
      <c r="I29" s="123" t="n"/>
      <c r="J29" s="123" t="n"/>
      <c r="K29" s="123" t="n"/>
      <c r="L29" s="123" t="n"/>
      <c r="M29" s="123" t="n"/>
      <c r="N29" s="123" t="n"/>
      <c r="O29" s="123" t="n"/>
      <c r="P29" s="123" t="n"/>
      <c r="Q29" s="123" t="n"/>
      <c r="R29" s="123" t="n"/>
      <c r="S29" s="123" t="n"/>
      <c r="T29" s="123" t="n"/>
    </row>
    <row r="30" ht="14" customFormat="1" customHeight="1" s="80">
      <c r="A30" s="123" t="inlineStr">
        <is>
          <t>• Long document translation: €0.09/word</t>
        </is>
      </c>
      <c r="B30" s="123" t="n"/>
      <c r="C30" s="123" t="n"/>
      <c r="D30" s="123" t="n"/>
      <c r="E30" s="123" t="n"/>
      <c r="F30" s="123" t="n"/>
      <c r="G30" s="123" t="n"/>
      <c r="H30" s="123" t="n"/>
      <c r="I30" s="123" t="n"/>
      <c r="J30" s="123" t="n"/>
      <c r="K30" s="123" t="n"/>
      <c r="L30" s="123" t="n"/>
      <c r="M30" s="123" t="n"/>
      <c r="N30" s="123" t="n"/>
      <c r="O30" s="123" t="n"/>
      <c r="P30" s="123" t="n"/>
      <c r="Q30" s="123" t="n"/>
      <c r="R30" s="123" t="n"/>
      <c r="S30" s="123" t="n"/>
      <c r="T30" s="123" t="n"/>
    </row>
    <row r="31" ht="13" customFormat="1" customHeight="1" s="112">
      <c r="A31" s="123" t="inlineStr">
        <is>
          <t>• Apostille: €5/unit</t>
        </is>
      </c>
      <c r="B31" s="123" t="n"/>
      <c r="C31" s="123" t="n"/>
      <c r="D31" s="123" t="n"/>
      <c r="E31" s="123" t="n"/>
      <c r="F31" s="123" t="n"/>
      <c r="G31" s="123" t="n"/>
      <c r="H31" s="123" t="n"/>
      <c r="I31" s="123" t="n"/>
      <c r="J31" s="123" t="n"/>
      <c r="K31" s="123" t="n"/>
      <c r="L31" s="123" t="n"/>
      <c r="M31" s="123" t="n"/>
      <c r="N31" s="123" t="n"/>
      <c r="O31" s="123" t="n"/>
      <c r="P31" s="123" t="n"/>
      <c r="Q31" s="123" t="n"/>
      <c r="R31" s="123" t="n"/>
      <c r="S31" s="123" t="n"/>
      <c r="T31" s="123" t="n"/>
    </row>
    <row r="32" ht="13" customFormat="1" customHeight="1" s="116">
      <c r="A32" s="123" t="n"/>
      <c r="B32" s="123" t="n"/>
      <c r="C32" s="123" t="n"/>
      <c r="D32" s="123" t="n"/>
      <c r="E32" s="123" t="n"/>
      <c r="F32" s="123" t="n"/>
      <c r="G32" s="123" t="n"/>
      <c r="H32" s="123" t="n"/>
      <c r="I32" s="123" t="n"/>
      <c r="J32" s="123" t="n"/>
      <c r="K32" s="123" t="n"/>
      <c r="L32" s="123" t="n"/>
      <c r="M32" s="123" t="n"/>
      <c r="N32" s="123" t="n"/>
      <c r="O32" s="123" t="n"/>
      <c r="P32" s="123" t="n"/>
      <c r="Q32" s="123" t="n"/>
      <c r="R32" s="123" t="n"/>
      <c r="S32" s="123" t="n"/>
      <c r="T32" s="123" t="n"/>
    </row>
    <row r="33" ht="13" customFormat="1" customHeight="1" s="116">
      <c r="A33" s="147" t="inlineStr">
        <is>
          <t>Note on VAT:</t>
        </is>
      </c>
      <c r="B33" s="123" t="n"/>
      <c r="C33" s="123" t="n"/>
      <c r="D33" s="123" t="n"/>
      <c r="E33" s="123" t="n"/>
      <c r="F33" s="123" t="n"/>
      <c r="G33" s="123" t="n"/>
      <c r="H33" s="123" t="n"/>
      <c r="I33" s="123" t="n"/>
      <c r="J33" s="123" t="n"/>
      <c r="K33" s="123" t="n"/>
      <c r="L33" s="123" t="n"/>
      <c r="M33" s="123" t="n"/>
      <c r="N33" s="123" t="n"/>
      <c r="O33" s="123" t="n"/>
      <c r="P33" s="123" t="n"/>
      <c r="Q33" s="123" t="n"/>
      <c r="R33" s="123" t="n"/>
      <c r="S33" s="123" t="n"/>
      <c r="T33" s="123" t="n"/>
    </row>
    <row r="34" ht="13" customFormat="1" customHeight="1" s="116">
      <c r="A34" s="147" t="inlineStr">
        <is>
          <t>• Companies based in Spain: 21% VAT applies.</t>
        </is>
      </c>
      <c r="B34" s="123" t="n"/>
      <c r="C34" s="123" t="n"/>
      <c r="D34" s="123" t="n"/>
      <c r="E34" s="123" t="n"/>
      <c r="F34" s="123" t="n"/>
      <c r="G34" s="123" t="n"/>
      <c r="H34" s="123" t="n"/>
      <c r="I34" s="123" t="n"/>
      <c r="J34" s="123" t="n"/>
      <c r="K34" s="123" t="n"/>
      <c r="L34" s="123" t="n"/>
      <c r="M34" s="123" t="n"/>
      <c r="N34" s="123" t="n"/>
      <c r="O34" s="123" t="n"/>
      <c r="P34" s="123" t="n"/>
      <c r="Q34" s="123" t="n"/>
      <c r="R34" s="123" t="n"/>
      <c r="S34" s="123" t="n"/>
      <c r="T34" s="123" t="n"/>
    </row>
    <row r="35">
      <c r="A35" s="147" t="inlineStr">
        <is>
          <t>• Companies based in another EU country without a VAT number: 21% VAT applies.</t>
        </is>
      </c>
      <c r="B35" s="123" t="n"/>
      <c r="C35" s="123" t="n"/>
      <c r="D35" s="123" t="n"/>
      <c r="E35" s="123" t="n"/>
      <c r="F35" s="123" t="n"/>
      <c r="G35" s="123" t="n"/>
      <c r="H35" s="123" t="n"/>
      <c r="I35" s="123" t="n"/>
      <c r="J35" s="123" t="n"/>
      <c r="K35" s="123" t="n"/>
      <c r="L35" s="123" t="n"/>
      <c r="M35" s="123" t="n"/>
      <c r="N35" s="123" t="n"/>
      <c r="O35" s="123" t="n"/>
      <c r="P35" s="123" t="n"/>
      <c r="Q35" s="123" t="n"/>
      <c r="R35" s="123" t="n"/>
      <c r="S35" s="123" t="n"/>
      <c r="T35" s="123" t="n"/>
    </row>
    <row r="36">
      <c r="A36" s="147" t="inlineStr">
        <is>
          <t>• All individuals, regardless of their tax residence, when the translation is to be submitted in Spain: 21% VAT applies.</t>
        </is>
      </c>
      <c r="B36" s="123" t="n"/>
      <c r="C36" s="123" t="n"/>
      <c r="D36" s="123" t="n"/>
      <c r="E36" s="123" t="n"/>
      <c r="F36" s="123" t="n"/>
      <c r="G36" s="123" t="n"/>
      <c r="H36" s="123" t="n"/>
      <c r="I36" s="123" t="n"/>
      <c r="J36" s="123" t="n"/>
      <c r="K36" s="123" t="n"/>
      <c r="L36" s="123" t="n"/>
      <c r="M36" s="123" t="n"/>
      <c r="N36" s="123" t="n"/>
      <c r="O36" s="123" t="n"/>
      <c r="P36" s="123" t="n"/>
      <c r="Q36" s="123" t="n"/>
      <c r="R36" s="123" t="n"/>
      <c r="S36" s="123" t="n"/>
      <c r="T36" s="123" t="n"/>
    </row>
    <row r="37">
      <c r="A37" s="123" t="n"/>
      <c r="B37" s="123" t="n"/>
      <c r="C37" s="123" t="n"/>
      <c r="D37" s="123" t="n"/>
      <c r="E37" s="123" t="n"/>
      <c r="F37" s="123" t="n"/>
      <c r="G37" s="123" t="n"/>
      <c r="H37" s="123" t="n"/>
      <c r="I37" s="123" t="n"/>
      <c r="J37" s="123" t="n"/>
      <c r="K37" s="123" t="n"/>
      <c r="L37" s="123" t="n"/>
      <c r="M37" s="123" t="n"/>
      <c r="N37" s="123" t="n"/>
      <c r="O37" s="123" t="n"/>
      <c r="P37" s="123" t="n"/>
      <c r="Q37" s="123" t="n"/>
      <c r="R37" s="123" t="n"/>
      <c r="S37" s="123" t="n"/>
      <c r="T37" s="123" t="n"/>
    </row>
    <row r="38">
      <c r="A38" s="123" t="n"/>
      <c r="B38" s="123" t="n"/>
      <c r="C38" s="123" t="n"/>
      <c r="D38" s="123" t="n"/>
      <c r="E38" s="123" t="n"/>
      <c r="F38" s="123" t="n"/>
      <c r="G38" s="123" t="n"/>
      <c r="H38" s="123" t="n"/>
      <c r="I38" s="123" t="n"/>
      <c r="J38" s="123" t="n"/>
      <c r="K38" s="123" t="n"/>
      <c r="L38" s="123" t="n"/>
      <c r="M38" s="123" t="n"/>
      <c r="N38" s="123" t="n"/>
      <c r="O38" s="123" t="n"/>
      <c r="P38" s="123" t="n"/>
      <c r="Q38" s="123" t="n"/>
      <c r="R38" s="123" t="n"/>
      <c r="S38" s="123" t="n"/>
      <c r="T38" s="123" t="n"/>
    </row>
    <row r="39">
      <c r="A39" s="123" t="n"/>
      <c r="B39" s="123" t="n"/>
      <c r="C39" s="123" t="n"/>
      <c r="D39" s="123" t="n"/>
      <c r="E39" s="123" t="n"/>
      <c r="F39" s="123" t="n"/>
      <c r="G39" s="123" t="n"/>
      <c r="H39" s="123" t="n"/>
      <c r="I39" s="123" t="n"/>
      <c r="J39" s="123" t="n"/>
      <c r="K39" s="123" t="n"/>
      <c r="L39" s="123" t="n"/>
      <c r="M39" s="123" t="n"/>
      <c r="N39" s="123" t="n"/>
      <c r="O39" s="123" t="n"/>
      <c r="P39" s="123" t="n"/>
      <c r="Q39" s="123" t="n"/>
      <c r="R39" s="123" t="n"/>
      <c r="S39" s="123" t="n"/>
      <c r="T39" s="123" t="n"/>
    </row>
    <row r="40">
      <c r="A40" s="123" t="n"/>
      <c r="B40" s="123" t="n"/>
      <c r="C40" s="123" t="n"/>
      <c r="D40" s="123" t="n"/>
      <c r="E40" s="123" t="n"/>
      <c r="F40" s="123" t="n"/>
      <c r="G40" s="123" t="n"/>
      <c r="H40" s="123" t="n"/>
      <c r="I40" s="123" t="n"/>
      <c r="J40" s="123" t="n"/>
      <c r="K40" s="123" t="n"/>
      <c r="L40" s="123" t="n"/>
      <c r="M40" s="123" t="n"/>
      <c r="N40" s="123" t="n"/>
      <c r="O40" s="123" t="n"/>
      <c r="P40" s="123" t="n"/>
      <c r="Q40" s="123" t="n"/>
      <c r="R40" s="123" t="n"/>
      <c r="S40" s="123" t="n"/>
      <c r="T40" s="123" t="n"/>
    </row>
    <row r="41">
      <c r="A41" s="123" t="n"/>
      <c r="B41" s="123" t="n"/>
      <c r="C41" s="123" t="n"/>
      <c r="D41" s="123" t="n"/>
      <c r="E41" s="123" t="n"/>
      <c r="F41" s="123" t="n"/>
      <c r="G41" s="123" t="n"/>
      <c r="H41" s="123" t="n"/>
      <c r="I41" s="123" t="n"/>
      <c r="J41" s="123" t="n"/>
      <c r="K41" s="123" t="n"/>
      <c r="L41" s="123" t="n"/>
      <c r="M41" s="123" t="n"/>
      <c r="N41" s="123" t="n"/>
      <c r="O41" s="123" t="n"/>
      <c r="P41" s="123" t="n"/>
      <c r="Q41" s="123" t="n"/>
      <c r="R41" s="123" t="n"/>
      <c r="S41" s="123" t="n"/>
      <c r="T41" s="123" t="n"/>
    </row>
    <row r="42">
      <c r="A42" s="123" t="n"/>
      <c r="B42" s="123" t="n"/>
      <c r="C42" s="123" t="n"/>
      <c r="D42" s="123" t="n"/>
      <c r="E42" s="123" t="n"/>
      <c r="F42" s="123" t="n"/>
      <c r="G42" s="123" t="n"/>
      <c r="H42" s="123" t="n"/>
      <c r="I42" s="123" t="n"/>
      <c r="J42" s="123" t="n"/>
      <c r="K42" s="123" t="n"/>
      <c r="L42" s="123" t="n"/>
      <c r="M42" s="123" t="n"/>
      <c r="N42" s="123" t="n"/>
      <c r="O42" s="123" t="n"/>
      <c r="P42" s="123" t="n"/>
      <c r="Q42" s="123" t="n"/>
      <c r="R42" s="123" t="n"/>
      <c r="S42" s="123" t="n"/>
      <c r="T42" s="123" t="n"/>
    </row>
    <row r="43">
      <c r="A43" s="123" t="n"/>
      <c r="B43" s="123" t="n"/>
      <c r="C43" s="123" t="n"/>
      <c r="D43" s="123" t="n"/>
      <c r="E43" s="123" t="n"/>
      <c r="F43" s="123" t="n"/>
      <c r="G43" s="123" t="n"/>
      <c r="H43" s="123" t="n"/>
      <c r="I43" s="123" t="n"/>
      <c r="J43" s="123" t="n"/>
      <c r="K43" s="123" t="n"/>
      <c r="L43" s="123" t="n"/>
      <c r="M43" s="123" t="n"/>
      <c r="N43" s="123" t="n"/>
      <c r="O43" s="123" t="n"/>
      <c r="P43" s="123" t="n"/>
      <c r="Q43" s="123" t="n"/>
      <c r="R43" s="123" t="n"/>
      <c r="S43" s="123" t="n"/>
      <c r="T43" s="123" t="n"/>
    </row>
    <row r="44">
      <c r="A44" s="123" t="n"/>
      <c r="B44" s="123" t="n"/>
      <c r="C44" s="123" t="n"/>
      <c r="D44" s="123" t="n"/>
      <c r="E44" s="123" t="n"/>
      <c r="F44" s="123" t="n"/>
      <c r="G44" s="123" t="n"/>
      <c r="H44" s="123" t="n"/>
      <c r="I44" s="123" t="n"/>
      <c r="J44" s="123" t="n"/>
      <c r="K44" s="123" t="n"/>
      <c r="L44" s="123" t="n"/>
      <c r="M44" s="123" t="n"/>
      <c r="N44" s="123" t="n"/>
      <c r="O44" s="123" t="n"/>
      <c r="P44" s="123" t="n"/>
      <c r="Q44" s="123" t="n"/>
      <c r="R44" s="123" t="n"/>
      <c r="S44" s="123" t="n"/>
      <c r="T44" s="123" t="n"/>
    </row>
    <row r="45">
      <c r="A45" s="123" t="n"/>
      <c r="B45" s="123" t="n"/>
      <c r="C45" s="123" t="n"/>
      <c r="D45" s="123" t="n"/>
      <c r="E45" s="123" t="n"/>
      <c r="F45" s="123" t="n"/>
      <c r="G45" s="123" t="n"/>
      <c r="H45" s="123" t="n"/>
      <c r="I45" s="123" t="n"/>
      <c r="J45" s="123" t="n"/>
      <c r="K45" s="123" t="n"/>
      <c r="L45" s="123" t="n"/>
      <c r="M45" s="123" t="n"/>
      <c r="N45" s="123" t="n"/>
      <c r="O45" s="123" t="n"/>
      <c r="P45" s="123" t="n"/>
      <c r="Q45" s="123" t="n"/>
      <c r="R45" s="123" t="n"/>
      <c r="S45" s="123" t="n"/>
      <c r="T45" s="123" t="n"/>
    </row>
  </sheetData>
  <mergeCells count="1">
    <mergeCell ref="A1:P1"/>
  </mergeCells>
  <pageMargins left="0.75" right="0.75" top="1" bottom="1" header="0.5" footer="0.5"/>
  <pageSetup orientation="portrait" paperSize="9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Rocío Valero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2026-02-21T09:31:39Z</dcterms:modified>
  <cp:lastModifiedBy>Rocío Valero</cp:lastModifiedBy>
</cp:coreProperties>
</file>