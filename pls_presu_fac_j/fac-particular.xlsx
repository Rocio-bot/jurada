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cio\OneDrive\documentos\TRABAJOS AUTONOMOS\JURADA\pls_presu_fac_j\"/>
    </mc:Choice>
  </mc:AlternateContent>
  <xr:revisionPtr revIDLastSave="0" documentId="13_ncr:1_{7050D42F-7591-444E-8B25-64124F126E76}" xr6:coauthVersionLast="47" xr6:coauthVersionMax="47" xr10:uidLastSave="{00000000-0000-0000-0000-000000000000}"/>
  <bookViews>
    <workbookView xWindow="810" yWindow="-110" windowWidth="24900" windowHeight="14900" tabRatio="500" activeTab="1" xr2:uid="{00000000-000D-0000-FFFF-FFFF00000000}"/>
  </bookViews>
  <sheets>
    <sheet name="Invoice" sheetId="1" r:id="rId1"/>
    <sheet name="Factur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" l="1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30" i="2" l="1"/>
  <c r="D31" i="2" s="1"/>
  <c r="D30" i="1"/>
  <c r="D31" i="1" s="1"/>
</calcChain>
</file>

<file path=xl/sharedStrings.xml><?xml version="1.0" encoding="utf-8"?>
<sst xmlns="http://schemas.openxmlformats.org/spreadsheetml/2006/main" count="88" uniqueCount="72">
  <si>
    <t>INVOICE</t>
  </si>
  <si>
    <t>Rocío Valero Lucas</t>
  </si>
  <si>
    <t>No: XXXXXX</t>
  </si>
  <si>
    <t>Plaza Manolete 4, 1º A</t>
  </si>
  <si>
    <t>Date: XX/XX/2026</t>
  </si>
  <si>
    <t>28020 Madrid</t>
  </si>
  <si>
    <t>NIF 51404204D</t>
  </si>
  <si>
    <t>+34 678 80 78 53</t>
  </si>
  <si>
    <t>rociovalerol@gmail.com</t>
  </si>
  <si>
    <t>For:</t>
  </si>
  <si>
    <t>XXXX XXXX XXXX</t>
  </si>
  <si>
    <t>Address:</t>
  </si>
  <si>
    <t>XX XXXXXXXX XX</t>
  </si>
  <si>
    <t>XXXXX XXXXXX</t>
  </si>
  <si>
    <t>XXXXXXX</t>
  </si>
  <si>
    <t>NIE / DNI / ID No.:</t>
  </si>
  <si>
    <t>XXXXXXXXX</t>
  </si>
  <si>
    <t>Description</t>
  </si>
  <si>
    <t>Units</t>
  </si>
  <si>
    <t>Unit price</t>
  </si>
  <si>
    <t>Subtotal</t>
  </si>
  <si>
    <t>Birth certificate (sworn, per page)</t>
  </si>
  <si>
    <t>Marriage certificate (sworn, per page)</t>
  </si>
  <si>
    <t>University degree (sworn, per page)</t>
  </si>
  <si>
    <t>Certificate of incorporation (sworn, per page)</t>
  </si>
  <si>
    <t>Cert. of incorp. on change of name (sworn, per page)</t>
  </si>
  <si>
    <t>Police certificates — UK (sworn, per page)</t>
  </si>
  <si>
    <t>Apostille(s) (per document)</t>
  </si>
  <si>
    <t>Employment contract (non-sworn, per word)</t>
  </si>
  <si>
    <t>CV / Resumé (non-sworn, per word)</t>
  </si>
  <si>
    <t>Employer's letter (non-sworn, per word)</t>
  </si>
  <si>
    <t>Employment contract extension (non-sworn, per word)</t>
  </si>
  <si>
    <t>Translation of various documents</t>
  </si>
  <si>
    <t>VAT 21%</t>
  </si>
  <si>
    <t>TOTAL</t>
  </si>
  <si>
    <t>Payment methods</t>
  </si>
  <si>
    <t>PayPal: rociovalerol@gmail.com (mind the "L" before the @ sign)</t>
  </si>
  <si>
    <t>Wise: rociovalerol@gmail.com (mind the "L" before the @ sign)</t>
  </si>
  <si>
    <t>Bizum: +34 678 80 78 53</t>
  </si>
  <si>
    <t>Bank accounts:</t>
  </si>
  <si>
    <t xml:space="preserve">    Account holder: Rocío Valero Lucas</t>
  </si>
  <si>
    <t xml:space="preserve">       CaixaBank: ES62 2100 2539 0113 0054 6529</t>
  </si>
  <si>
    <t xml:space="preserve">       Santander: ES10 0049 6976 2524 1008 2713</t>
  </si>
  <si>
    <t>Fecha: XX/XX/2026</t>
  </si>
  <si>
    <t>Nº: XXXXXX</t>
  </si>
  <si>
    <t>Cliente:</t>
  </si>
  <si>
    <t>Dirección:</t>
  </si>
  <si>
    <t>NIE / DNI / Nº doc. identidad:</t>
  </si>
  <si>
    <t>Descripción</t>
  </si>
  <si>
    <t>Uds.</t>
  </si>
  <si>
    <t>Precio unit.</t>
  </si>
  <si>
    <t>Certificado de nacimiento (jurada, por página)</t>
  </si>
  <si>
    <t>Certificado de matrimonio (jurada, por página)</t>
  </si>
  <si>
    <t>Título universitario (jurada, por página)</t>
  </si>
  <si>
    <t>Certificate of incorporation (jurada, por página)</t>
  </si>
  <si>
    <t>Cert. of incorp. on change of name (jurada, por página)</t>
  </si>
  <si>
    <t>Police certificates — UK (jurada, por página)</t>
  </si>
  <si>
    <t>Apostilla(s) (por documento)</t>
  </si>
  <si>
    <t>Contrato de trabajo (simple, por palabra)</t>
  </si>
  <si>
    <t>Currículum (simple, por palabra)</t>
  </si>
  <si>
    <t>Carta del empleador (simple, por palabra)</t>
  </si>
  <si>
    <t>Extensión de contrato de trabajo (simple, por palabra)</t>
  </si>
  <si>
    <t>Traducción de documentos varios</t>
  </si>
  <si>
    <t>Base imponible</t>
  </si>
  <si>
    <t>IVA 21 %</t>
  </si>
  <si>
    <t>Formas de pago</t>
  </si>
  <si>
    <t>PayPal: rociovalerol@gmail.com (con "L" antes de la arroba)</t>
  </si>
  <si>
    <t>Wise: rociovalerol@gmail.com  (con "L" antes de la arroba)</t>
  </si>
  <si>
    <t>Transferencia bancaria:</t>
  </si>
  <si>
    <t xml:space="preserve">    Titular: Rocío Valero Lucas</t>
  </si>
  <si>
    <t xml:space="preserve">        CaixaBank: ES62 2100 2539 0113 0054 6529</t>
  </si>
  <si>
    <t xml:space="preserve">        Santander: ES10 0049 6976 2524 1008 2713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</si>
</sst>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13" x14ac:knownFonts="1">
    <font>
      <sz val="11"/>
      <color theme="1"/>
      <name val="Calibri"/>
      <family val="2"/>
      <charset val="1"/>
    </font>
    <font>
      <b/>
      <sz val="18"/>
      <color rgb="FF8B1A1A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rgb="FFFFFFFF"/>
      <name val="Arial"/>
      <family val="2"/>
    </font>
    <font>
      <b/>
      <sz val="12"/>
      <color rgb="FF8B1A1A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charset val="1"/>
    </font>
    <font>
      <sz val="8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B1A1A"/>
        <bgColor rgb="FF800000"/>
      </patternFill>
    </fill>
    <fill>
      <patternFill patternType="solid">
        <fgColor rgb="FFF2F2F2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right"/>
    </xf>
    <xf numFmtId="164" fontId="7" fillId="0" borderId="2" xfId="0" applyNumberFormat="1" applyFont="1" applyBorder="1" applyAlignment="1">
      <alignment horizontal="right"/>
    </xf>
    <xf numFmtId="164" fontId="7" fillId="0" borderId="0" xfId="0" applyNumberFormat="1" applyFont="1" applyAlignment="1">
      <alignment horizontal="right"/>
    </xf>
    <xf numFmtId="0" fontId="10" fillId="0" borderId="0" xfId="0" applyFont="1"/>
    <xf numFmtId="0" fontId="9" fillId="0" borderId="3" xfId="0" applyFont="1" applyBorder="1"/>
    <xf numFmtId="0" fontId="11" fillId="0" borderId="4" xfId="0" applyFont="1" applyBorder="1"/>
    <xf numFmtId="0" fontId="10" fillId="0" borderId="4" xfId="0" applyFont="1" applyBorder="1"/>
    <xf numFmtId="0" fontId="10" fillId="0" borderId="5" xfId="0" applyFont="1" applyBorder="1"/>
    <xf numFmtId="0" fontId="12" fillId="0" borderId="0" xfId="0" applyFont="1"/>
    <xf numFmtId="0" fontId="4" fillId="0" borderId="0" xfId="0" applyFont="1" applyAlignment="1">
      <alignment horizontal="right"/>
    </xf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1A1A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6"/>
  <sheetViews>
    <sheetView topLeftCell="A24" zoomScaleNormal="100" workbookViewId="0">
      <selection activeCell="A46" sqref="A46:XFD46"/>
    </sheetView>
  </sheetViews>
  <sheetFormatPr baseColWidth="10" defaultColWidth="8.7265625" defaultRowHeight="14.5" x14ac:dyDescent="0.35"/>
  <cols>
    <col min="1" max="1" width="44" customWidth="1"/>
    <col min="2" max="2" width="8" customWidth="1"/>
    <col min="3" max="4" width="12" customWidth="1"/>
  </cols>
  <sheetData>
    <row r="1" spans="1:4" ht="23" customHeight="1" x14ac:dyDescent="0.5">
      <c r="A1" s="4" t="s">
        <v>0</v>
      </c>
      <c r="C1" s="26" t="s">
        <v>1</v>
      </c>
      <c r="D1" s="25"/>
    </row>
    <row r="2" spans="1:4" x14ac:dyDescent="0.35">
      <c r="A2" s="2" t="s">
        <v>2</v>
      </c>
      <c r="C2" s="24" t="s">
        <v>3</v>
      </c>
      <c r="D2" s="25"/>
    </row>
    <row r="3" spans="1:4" x14ac:dyDescent="0.35">
      <c r="A3" s="2" t="s">
        <v>4</v>
      </c>
      <c r="C3" s="24" t="s">
        <v>5</v>
      </c>
      <c r="D3" s="25"/>
    </row>
    <row r="4" spans="1:4" x14ac:dyDescent="0.35">
      <c r="C4" s="24" t="s">
        <v>6</v>
      </c>
      <c r="D4" s="25"/>
    </row>
    <row r="5" spans="1:4" x14ac:dyDescent="0.35">
      <c r="C5" s="24" t="s">
        <v>7</v>
      </c>
      <c r="D5" s="25"/>
    </row>
    <row r="6" spans="1:4" x14ac:dyDescent="0.35">
      <c r="C6" s="24" t="s">
        <v>8</v>
      </c>
      <c r="D6" s="25"/>
    </row>
    <row r="8" spans="1:4" x14ac:dyDescent="0.35">
      <c r="A8" s="5" t="s">
        <v>9</v>
      </c>
      <c r="B8" s="27" t="s">
        <v>10</v>
      </c>
      <c r="C8" s="25"/>
      <c r="D8" s="25"/>
    </row>
    <row r="9" spans="1:4" x14ac:dyDescent="0.35">
      <c r="A9" s="23" t="s">
        <v>11</v>
      </c>
      <c r="B9" s="1" t="s">
        <v>12</v>
      </c>
    </row>
    <row r="10" spans="1:4" x14ac:dyDescent="0.35">
      <c r="B10" s="1" t="s">
        <v>13</v>
      </c>
    </row>
    <row r="11" spans="1:4" x14ac:dyDescent="0.35">
      <c r="B11" s="1" t="s">
        <v>14</v>
      </c>
    </row>
    <row r="12" spans="1:4" x14ac:dyDescent="0.35">
      <c r="A12" s="6" t="s">
        <v>15</v>
      </c>
      <c r="B12" s="28" t="s">
        <v>16</v>
      </c>
      <c r="C12" s="25"/>
      <c r="D12" s="25"/>
    </row>
    <row r="14" spans="1:4" x14ac:dyDescent="0.35">
      <c r="A14" s="7" t="s">
        <v>17</v>
      </c>
      <c r="B14" s="7" t="s">
        <v>18</v>
      </c>
      <c r="C14" s="7" t="s">
        <v>19</v>
      </c>
      <c r="D14" s="7" t="s">
        <v>20</v>
      </c>
    </row>
    <row r="15" spans="1:4" x14ac:dyDescent="0.35">
      <c r="A15" s="8" t="s">
        <v>21</v>
      </c>
      <c r="B15" s="9">
        <v>1</v>
      </c>
      <c r="C15" s="10">
        <v>20</v>
      </c>
      <c r="D15" s="10">
        <f t="shared" ref="D15:D28" si="0">B15*C15</f>
        <v>20</v>
      </c>
    </row>
    <row r="16" spans="1:4" x14ac:dyDescent="0.35">
      <c r="A16" s="11" t="s">
        <v>22</v>
      </c>
      <c r="B16" s="12">
        <v>1</v>
      </c>
      <c r="C16" s="13">
        <v>20</v>
      </c>
      <c r="D16" s="13">
        <f t="shared" si="0"/>
        <v>20</v>
      </c>
    </row>
    <row r="17" spans="1:4" x14ac:dyDescent="0.35">
      <c r="A17" s="8" t="s">
        <v>23</v>
      </c>
      <c r="B17" s="9">
        <v>1</v>
      </c>
      <c r="C17" s="10">
        <v>20</v>
      </c>
      <c r="D17" s="10">
        <f t="shared" si="0"/>
        <v>20</v>
      </c>
    </row>
    <row r="18" spans="1:4" x14ac:dyDescent="0.35">
      <c r="A18" s="11" t="s">
        <v>24</v>
      </c>
      <c r="B18" s="12">
        <v>1</v>
      </c>
      <c r="C18" s="13">
        <v>20</v>
      </c>
      <c r="D18" s="13">
        <f t="shared" si="0"/>
        <v>20</v>
      </c>
    </row>
    <row r="19" spans="1:4" x14ac:dyDescent="0.35">
      <c r="A19" s="8" t="s">
        <v>25</v>
      </c>
      <c r="B19" s="9">
        <v>1</v>
      </c>
      <c r="C19" s="10">
        <v>30</v>
      </c>
      <c r="D19" s="10">
        <f t="shared" si="0"/>
        <v>30</v>
      </c>
    </row>
    <row r="20" spans="1:4" x14ac:dyDescent="0.35">
      <c r="A20" s="11" t="s">
        <v>26</v>
      </c>
      <c r="B20" s="12">
        <v>1</v>
      </c>
      <c r="C20" s="13">
        <v>20</v>
      </c>
      <c r="D20" s="13">
        <f t="shared" si="0"/>
        <v>20</v>
      </c>
    </row>
    <row r="21" spans="1:4" x14ac:dyDescent="0.35">
      <c r="A21" s="8" t="s">
        <v>27</v>
      </c>
      <c r="B21" s="9">
        <v>1</v>
      </c>
      <c r="C21" s="10">
        <v>5</v>
      </c>
      <c r="D21" s="10">
        <f t="shared" si="0"/>
        <v>5</v>
      </c>
    </row>
    <row r="22" spans="1:4" x14ac:dyDescent="0.35">
      <c r="A22" s="11" t="s">
        <v>28</v>
      </c>
      <c r="B22" s="12">
        <v>1</v>
      </c>
      <c r="C22" s="13">
        <v>0.09</v>
      </c>
      <c r="D22" s="13">
        <f t="shared" si="0"/>
        <v>0.09</v>
      </c>
    </row>
    <row r="23" spans="1:4" x14ac:dyDescent="0.35">
      <c r="A23" s="8" t="s">
        <v>29</v>
      </c>
      <c r="B23" s="9">
        <v>1</v>
      </c>
      <c r="C23" s="10">
        <v>0.09</v>
      </c>
      <c r="D23" s="10">
        <f t="shared" si="0"/>
        <v>0.09</v>
      </c>
    </row>
    <row r="24" spans="1:4" x14ac:dyDescent="0.35">
      <c r="A24" s="11" t="s">
        <v>30</v>
      </c>
      <c r="B24" s="12">
        <v>1</v>
      </c>
      <c r="C24" s="13">
        <v>0.09</v>
      </c>
      <c r="D24" s="13">
        <f t="shared" si="0"/>
        <v>0.09</v>
      </c>
    </row>
    <row r="25" spans="1:4" x14ac:dyDescent="0.35">
      <c r="A25" s="8" t="s">
        <v>31</v>
      </c>
      <c r="B25" s="9">
        <v>1</v>
      </c>
      <c r="C25" s="10">
        <v>0.09</v>
      </c>
      <c r="D25" s="10">
        <f t="shared" si="0"/>
        <v>0.09</v>
      </c>
    </row>
    <row r="26" spans="1:4" x14ac:dyDescent="0.35">
      <c r="A26" s="11" t="s">
        <v>32</v>
      </c>
      <c r="B26" s="12">
        <v>1</v>
      </c>
      <c r="C26" s="13"/>
      <c r="D26" s="13">
        <f t="shared" si="0"/>
        <v>0</v>
      </c>
    </row>
    <row r="27" spans="1:4" x14ac:dyDescent="0.35">
      <c r="A27" s="8"/>
      <c r="B27" s="9"/>
      <c r="C27" s="10"/>
      <c r="D27" s="10">
        <f t="shared" si="0"/>
        <v>0</v>
      </c>
    </row>
    <row r="28" spans="1:4" x14ac:dyDescent="0.35">
      <c r="A28" s="11"/>
      <c r="B28" s="12"/>
      <c r="C28" s="13"/>
      <c r="D28" s="13">
        <f t="shared" si="0"/>
        <v>0</v>
      </c>
    </row>
    <row r="29" spans="1:4" x14ac:dyDescent="0.35">
      <c r="C29" s="3" t="s">
        <v>20</v>
      </c>
      <c r="D29" s="14">
        <f>SUM(D15:D28)</f>
        <v>135.36000000000001</v>
      </c>
    </row>
    <row r="30" spans="1:4" x14ac:dyDescent="0.35">
      <c r="C30" s="3" t="s">
        <v>33</v>
      </c>
      <c r="D30" s="14">
        <f>D29*0.21</f>
        <v>28.425600000000003</v>
      </c>
    </row>
    <row r="31" spans="1:4" ht="15.5" customHeight="1" x14ac:dyDescent="0.35">
      <c r="C31" s="15" t="s">
        <v>34</v>
      </c>
      <c r="D31" s="16">
        <f>D29+D30</f>
        <v>163.78560000000002</v>
      </c>
    </row>
    <row r="32" spans="1:4" ht="15.5" customHeight="1" x14ac:dyDescent="0.35">
      <c r="C32" s="15"/>
      <c r="D32" s="17"/>
    </row>
    <row r="33" spans="1:4" ht="15.5" customHeight="1" x14ac:dyDescent="0.35">
      <c r="C33" s="15"/>
      <c r="D33" s="17"/>
    </row>
    <row r="36" spans="1:4" x14ac:dyDescent="0.35">
      <c r="A36" s="19" t="s">
        <v>35</v>
      </c>
      <c r="B36" s="18"/>
      <c r="C36" s="18"/>
      <c r="D36" s="18"/>
    </row>
    <row r="37" spans="1:4" x14ac:dyDescent="0.35">
      <c r="A37" s="20" t="s">
        <v>36</v>
      </c>
      <c r="B37" s="18"/>
      <c r="C37" s="18"/>
      <c r="D37" s="18"/>
    </row>
    <row r="38" spans="1:4" x14ac:dyDescent="0.35">
      <c r="A38" s="20" t="s">
        <v>37</v>
      </c>
      <c r="B38" s="18"/>
      <c r="C38" s="18"/>
      <c r="D38" s="18"/>
    </row>
    <row r="39" spans="1:4" x14ac:dyDescent="0.35">
      <c r="A39" s="20" t="s">
        <v>38</v>
      </c>
      <c r="B39" s="18"/>
      <c r="C39" s="18"/>
      <c r="D39" s="18"/>
    </row>
    <row r="40" spans="1:4" x14ac:dyDescent="0.35">
      <c r="A40" s="20" t="s">
        <v>39</v>
      </c>
      <c r="B40" s="18"/>
      <c r="C40" s="18"/>
      <c r="D40" s="18"/>
    </row>
    <row r="41" spans="1:4" x14ac:dyDescent="0.35">
      <c r="A41" s="21" t="s">
        <v>40</v>
      </c>
      <c r="B41" s="18"/>
      <c r="C41" s="18"/>
      <c r="D41" s="18"/>
    </row>
    <row r="42" spans="1:4" x14ac:dyDescent="0.35">
      <c r="A42" s="21" t="s">
        <v>41</v>
      </c>
      <c r="B42" s="18"/>
      <c r="C42" s="18"/>
      <c r="D42" s="18"/>
    </row>
    <row r="43" spans="1:4" x14ac:dyDescent="0.35">
      <c r="A43" s="22" t="s">
        <v>42</v>
      </c>
      <c r="B43" s="18"/>
      <c r="C43" s="18"/>
      <c r="D43" s="18"/>
    </row>
    <row r="46" spans="1:4" x14ac:dyDescent="0.35">
      <c r="A46" s="29"/>
      <c r="B46" s="25"/>
      <c r="C46" s="25"/>
      <c r="D46" s="25"/>
    </row>
  </sheetData>
  <mergeCells count="9">
    <mergeCell ref="B12:D12"/>
    <mergeCell ref="C3:D3"/>
    <mergeCell ref="A46:D46"/>
    <mergeCell ref="C4:D4"/>
    <mergeCell ref="C6:D6"/>
    <mergeCell ref="C2:D2"/>
    <mergeCell ref="C1:D1"/>
    <mergeCell ref="B8:D8"/>
    <mergeCell ref="C5:D5"/>
  </mergeCells>
  <pageMargins left="0.6" right="0.6" top="0.5" bottom="0.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47"/>
  <sheetViews>
    <sheetView tabSelected="1" topLeftCell="A21" zoomScaleNormal="100" workbookViewId="0">
      <selection activeCell="A47" sqref="A47:D47"/>
    </sheetView>
  </sheetViews>
  <sheetFormatPr baseColWidth="10" defaultColWidth="8.7265625" defaultRowHeight="14.5" x14ac:dyDescent="0.35"/>
  <cols>
    <col min="1" max="1" width="44" customWidth="1"/>
    <col min="2" max="2" width="8" customWidth="1"/>
    <col min="3" max="4" width="12" customWidth="1"/>
  </cols>
  <sheetData>
    <row r="1" spans="1:4" ht="23" customHeight="1" x14ac:dyDescent="0.5">
      <c r="A1" s="4" t="s">
        <v>43</v>
      </c>
      <c r="C1" s="26" t="s">
        <v>1</v>
      </c>
      <c r="D1" s="25"/>
    </row>
    <row r="2" spans="1:4" x14ac:dyDescent="0.35">
      <c r="A2" s="2" t="s">
        <v>44</v>
      </c>
      <c r="C2" s="24" t="s">
        <v>3</v>
      </c>
      <c r="D2" s="25"/>
    </row>
    <row r="3" spans="1:4" x14ac:dyDescent="0.35">
      <c r="A3" s="2" t="s">
        <v>43</v>
      </c>
      <c r="C3" s="24" t="s">
        <v>5</v>
      </c>
      <c r="D3" s="25"/>
    </row>
    <row r="4" spans="1:4" x14ac:dyDescent="0.35">
      <c r="C4" s="24" t="s">
        <v>6</v>
      </c>
      <c r="D4" s="25"/>
    </row>
    <row r="5" spans="1:4" x14ac:dyDescent="0.35">
      <c r="C5" s="24" t="s">
        <v>7</v>
      </c>
      <c r="D5" s="25"/>
    </row>
    <row r="6" spans="1:4" x14ac:dyDescent="0.35">
      <c r="C6" s="24" t="s">
        <v>8</v>
      </c>
      <c r="D6" s="25"/>
    </row>
    <row r="8" spans="1:4" x14ac:dyDescent="0.35">
      <c r="A8" s="5" t="s">
        <v>45</v>
      </c>
      <c r="B8" s="27" t="s">
        <v>10</v>
      </c>
      <c r="C8" s="25"/>
      <c r="D8" s="25"/>
    </row>
    <row r="9" spans="1:4" x14ac:dyDescent="0.35">
      <c r="A9" s="23" t="s">
        <v>46</v>
      </c>
      <c r="B9" s="1" t="s">
        <v>12</v>
      </c>
    </row>
    <row r="10" spans="1:4" x14ac:dyDescent="0.35">
      <c r="B10" s="1" t="s">
        <v>13</v>
      </c>
    </row>
    <row r="11" spans="1:4" x14ac:dyDescent="0.35">
      <c r="B11" s="1" t="s">
        <v>14</v>
      </c>
    </row>
    <row r="12" spans="1:4" x14ac:dyDescent="0.35">
      <c r="A12" s="6" t="s">
        <v>47</v>
      </c>
      <c r="B12" s="28" t="s">
        <v>16</v>
      </c>
      <c r="C12" s="25"/>
      <c r="D12" s="25"/>
    </row>
    <row r="14" spans="1:4" x14ac:dyDescent="0.35">
      <c r="A14" s="7" t="s">
        <v>48</v>
      </c>
      <c r="B14" s="7" t="s">
        <v>49</v>
      </c>
      <c r="C14" s="7" t="s">
        <v>50</v>
      </c>
      <c r="D14" s="7" t="s">
        <v>20</v>
      </c>
    </row>
    <row r="15" spans="1:4" x14ac:dyDescent="0.35">
      <c r="A15" s="8" t="s">
        <v>51</v>
      </c>
      <c r="B15" s="9">
        <v>1</v>
      </c>
      <c r="C15" s="10">
        <v>20</v>
      </c>
      <c r="D15" s="10">
        <f t="shared" ref="D15:D28" si="0">B15*C15</f>
        <v>20</v>
      </c>
    </row>
    <row r="16" spans="1:4" x14ac:dyDescent="0.35">
      <c r="A16" s="11" t="s">
        <v>52</v>
      </c>
      <c r="B16" s="12">
        <v>1</v>
      </c>
      <c r="C16" s="13">
        <v>20</v>
      </c>
      <c r="D16" s="13">
        <f t="shared" si="0"/>
        <v>20</v>
      </c>
    </row>
    <row r="17" spans="1:4" x14ac:dyDescent="0.35">
      <c r="A17" s="8" t="s">
        <v>53</v>
      </c>
      <c r="B17" s="9">
        <v>1</v>
      </c>
      <c r="C17" s="10">
        <v>20</v>
      </c>
      <c r="D17" s="10">
        <f t="shared" si="0"/>
        <v>20</v>
      </c>
    </row>
    <row r="18" spans="1:4" x14ac:dyDescent="0.35">
      <c r="A18" s="11" t="s">
        <v>54</v>
      </c>
      <c r="B18" s="12">
        <v>1</v>
      </c>
      <c r="C18" s="13">
        <v>20</v>
      </c>
      <c r="D18" s="13">
        <f t="shared" si="0"/>
        <v>20</v>
      </c>
    </row>
    <row r="19" spans="1:4" x14ac:dyDescent="0.35">
      <c r="A19" s="8" t="s">
        <v>55</v>
      </c>
      <c r="B19" s="9">
        <v>1</v>
      </c>
      <c r="C19" s="10">
        <v>30</v>
      </c>
      <c r="D19" s="10">
        <f t="shared" si="0"/>
        <v>30</v>
      </c>
    </row>
    <row r="20" spans="1:4" x14ac:dyDescent="0.35">
      <c r="A20" s="11" t="s">
        <v>56</v>
      </c>
      <c r="B20" s="12">
        <v>1</v>
      </c>
      <c r="C20" s="13">
        <v>20</v>
      </c>
      <c r="D20" s="13">
        <f t="shared" si="0"/>
        <v>20</v>
      </c>
    </row>
    <row r="21" spans="1:4" x14ac:dyDescent="0.35">
      <c r="A21" s="8" t="s">
        <v>57</v>
      </c>
      <c r="B21" s="9">
        <v>1</v>
      </c>
      <c r="C21" s="10">
        <v>5</v>
      </c>
      <c r="D21" s="10">
        <f t="shared" si="0"/>
        <v>5</v>
      </c>
    </row>
    <row r="22" spans="1:4" x14ac:dyDescent="0.35">
      <c r="A22" s="11" t="s">
        <v>58</v>
      </c>
      <c r="B22" s="12">
        <v>1</v>
      </c>
      <c r="C22" s="13">
        <v>0.09</v>
      </c>
      <c r="D22" s="13">
        <f t="shared" si="0"/>
        <v>0.09</v>
      </c>
    </row>
    <row r="23" spans="1:4" x14ac:dyDescent="0.35">
      <c r="A23" s="8" t="s">
        <v>59</v>
      </c>
      <c r="B23" s="9">
        <v>1</v>
      </c>
      <c r="C23" s="10">
        <v>0.09</v>
      </c>
      <c r="D23" s="10">
        <f t="shared" si="0"/>
        <v>0.09</v>
      </c>
    </row>
    <row r="24" spans="1:4" x14ac:dyDescent="0.35">
      <c r="A24" s="11" t="s">
        <v>60</v>
      </c>
      <c r="B24" s="12">
        <v>1</v>
      </c>
      <c r="C24" s="13">
        <v>0.09</v>
      </c>
      <c r="D24" s="13">
        <f t="shared" si="0"/>
        <v>0.09</v>
      </c>
    </row>
    <row r="25" spans="1:4" x14ac:dyDescent="0.35">
      <c r="A25" s="8" t="s">
        <v>61</v>
      </c>
      <c r="B25" s="9">
        <v>1</v>
      </c>
      <c r="C25" s="10">
        <v>0.09</v>
      </c>
      <c r="D25" s="10">
        <f t="shared" si="0"/>
        <v>0.09</v>
      </c>
    </row>
    <row r="26" spans="1:4" x14ac:dyDescent="0.35">
      <c r="A26" s="11" t="s">
        <v>62</v>
      </c>
      <c r="B26" s="12">
        <v>1</v>
      </c>
      <c r="C26" s="13"/>
      <c r="D26" s="13">
        <f t="shared" si="0"/>
        <v>0</v>
      </c>
    </row>
    <row r="27" spans="1:4" x14ac:dyDescent="0.35">
      <c r="A27" s="8"/>
      <c r="B27" s="9"/>
      <c r="C27" s="10"/>
      <c r="D27" s="10">
        <f t="shared" si="0"/>
        <v>0</v>
      </c>
    </row>
    <row r="28" spans="1:4" x14ac:dyDescent="0.35">
      <c r="A28" s="11"/>
      <c r="B28" s="12"/>
      <c r="C28" s="13"/>
      <c r="D28" s="13">
        <f t="shared" si="0"/>
        <v>0</v>
      </c>
    </row>
    <row r="29" spans="1:4" x14ac:dyDescent="0.35">
      <c r="C29" s="3" t="s">
        <v>63</v>
      </c>
      <c r="D29" s="14">
        <f>SUM(D15:D28)</f>
        <v>135.36000000000001</v>
      </c>
    </row>
    <row r="30" spans="1:4" x14ac:dyDescent="0.35">
      <c r="C30" s="3" t="s">
        <v>64</v>
      </c>
      <c r="D30" s="14">
        <f>D29*0.21</f>
        <v>28.425600000000003</v>
      </c>
    </row>
    <row r="31" spans="1:4" ht="15.5" customHeight="1" x14ac:dyDescent="0.35">
      <c r="C31" s="15" t="s">
        <v>34</v>
      </c>
      <c r="D31" s="16">
        <f>D29+D30</f>
        <v>163.78560000000002</v>
      </c>
    </row>
    <row r="37" spans="1:4" x14ac:dyDescent="0.35">
      <c r="A37" s="19" t="s">
        <v>65</v>
      </c>
    </row>
    <row r="38" spans="1:4" x14ac:dyDescent="0.35">
      <c r="A38" s="20" t="s">
        <v>66</v>
      </c>
    </row>
    <row r="39" spans="1:4" x14ac:dyDescent="0.35">
      <c r="A39" s="20" t="s">
        <v>67</v>
      </c>
    </row>
    <row r="40" spans="1:4" x14ac:dyDescent="0.35">
      <c r="A40" s="20" t="s">
        <v>38</v>
      </c>
    </row>
    <row r="41" spans="1:4" x14ac:dyDescent="0.35">
      <c r="A41" s="20" t="s">
        <v>68</v>
      </c>
    </row>
    <row r="42" spans="1:4" x14ac:dyDescent="0.35">
      <c r="A42" s="21" t="s">
        <v>69</v>
      </c>
    </row>
    <row r="43" spans="1:4" x14ac:dyDescent="0.35">
      <c r="A43" s="21" t="s">
        <v>70</v>
      </c>
    </row>
    <row r="44" spans="1:4" x14ac:dyDescent="0.35">
      <c r="A44" s="22" t="s">
        <v>71</v>
      </c>
    </row>
    <row r="47" spans="1:4" x14ac:dyDescent="0.35">
      <c r="A47" s="29"/>
      <c r="B47" s="25"/>
      <c r="C47" s="25"/>
      <c r="D47" s="25"/>
    </row>
  </sheetData>
  <mergeCells count="9">
    <mergeCell ref="B12:D12"/>
    <mergeCell ref="A47:D47"/>
    <mergeCell ref="C3:D3"/>
    <mergeCell ref="C4:D4"/>
    <mergeCell ref="C6:D6"/>
    <mergeCell ref="C2:D2"/>
    <mergeCell ref="C1:D1"/>
    <mergeCell ref="B8:D8"/>
    <mergeCell ref="C5:D5"/>
  </mergeCells>
  <pageMargins left="0.6" right="0.6" top="0.5" bottom="0.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Invoice</vt:lpstr>
      <vt:lpstr>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Rocío Valero</cp:lastModifiedBy>
  <cp:revision>0</cp:revision>
  <cp:lastPrinted>2026-02-11T15:55:03Z</cp:lastPrinted>
  <dcterms:created xsi:type="dcterms:W3CDTF">2026-02-11T14:45:06Z</dcterms:created>
  <dcterms:modified xsi:type="dcterms:W3CDTF">2026-02-21T09:33:09Z</dcterms:modified>
  <dc:language>en-US</dc:language>
</cp:coreProperties>
</file>